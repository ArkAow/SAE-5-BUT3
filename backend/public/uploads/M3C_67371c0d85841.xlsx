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paxou\Downloads\"/>
    </mc:Choice>
  </mc:AlternateContent>
  <xr:revisionPtr revIDLastSave="0" documentId="13_ncr:1_{BCEF1318-9881-4CA6-B528-C48D773DEE55}" xr6:coauthVersionLast="47" xr6:coauthVersionMax="47" xr10:uidLastSave="{00000000-0000-0000-0000-000000000000}"/>
  <bookViews>
    <workbookView xWindow="-108" yWindow="-108" windowWidth="23256" windowHeight="12456" tabRatio="757" activeTab="1" xr2:uid="{00000000-000D-0000-FFFF-FFFF00000000}"/>
  </bookViews>
  <sheets>
    <sheet name="BUT1 INFO_S1-S2" sheetId="4" r:id="rId1"/>
    <sheet name="BUT2 INFO_P1 RACDV_S3-S4" sheetId="5" r:id="rId2"/>
    <sheet name="Feuil1" sheetId="6" state="hidden" r:id="rId3"/>
  </sheets>
  <definedNames>
    <definedName name="_xlnm._FilterDatabase" localSheetId="0" hidden="1">'BUT1 INFO_S1-S2'!$A$63:$X$103</definedName>
    <definedName name="_xlnm._FilterDatabase" localSheetId="1" hidden="1">'BUT2 INFO_P1 RACDV_S3-S4'!$A$61:$X$98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6" i="5" l="1"/>
  <c r="I62" i="5"/>
  <c r="J90" i="5"/>
  <c r="J38" i="5"/>
  <c r="J96" i="4"/>
  <c r="J43" i="4"/>
  <c r="Q94" i="5"/>
  <c r="Q42" i="5"/>
  <c r="R94" i="5"/>
  <c r="R42" i="5"/>
  <c r="S94" i="5"/>
  <c r="S42" i="5"/>
  <c r="T94" i="5"/>
  <c r="T42" i="5"/>
  <c r="U94" i="5"/>
  <c r="V94" i="5"/>
  <c r="U42" i="5"/>
  <c r="V42" i="5"/>
  <c r="V41" i="5"/>
  <c r="V43" i="5"/>
  <c r="M46" i="4"/>
  <c r="M99" i="4"/>
  <c r="N46" i="4"/>
  <c r="N47" i="4" s="1"/>
  <c r="N50" i="4" s="1"/>
  <c r="N99" i="4"/>
  <c r="N98" i="4"/>
  <c r="N100" i="4"/>
  <c r="O46" i="4"/>
  <c r="O99" i="4"/>
  <c r="O100" i="4" s="1"/>
  <c r="O102" i="4" s="1"/>
  <c r="P46" i="4"/>
  <c r="P99" i="4"/>
  <c r="K99" i="4" s="1"/>
  <c r="L46" i="4"/>
  <c r="K46" i="4" s="1"/>
  <c r="I64" i="5"/>
  <c r="I65" i="5"/>
  <c r="I66" i="5"/>
  <c r="I67" i="5"/>
  <c r="I68" i="5"/>
  <c r="I69" i="5"/>
  <c r="I70" i="5"/>
  <c r="I71" i="5"/>
  <c r="I72" i="5"/>
  <c r="I73" i="5"/>
  <c r="I74" i="5"/>
  <c r="I75" i="5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Q99" i="4"/>
  <c r="Q98" i="4"/>
  <c r="Q100" i="4"/>
  <c r="Q102" i="4" s="1"/>
  <c r="Q45" i="4"/>
  <c r="Q46" i="4"/>
  <c r="V93" i="5"/>
  <c r="V95" i="5" s="1"/>
  <c r="I15" i="4"/>
  <c r="I16" i="4"/>
  <c r="P96" i="5"/>
  <c r="U93" i="5"/>
  <c r="U95" i="5" s="1"/>
  <c r="U98" i="5" s="1"/>
  <c r="T93" i="5"/>
  <c r="S93" i="5"/>
  <c r="R93" i="5"/>
  <c r="Q93" i="5"/>
  <c r="N90" i="5"/>
  <c r="M90" i="5"/>
  <c r="L90" i="5"/>
  <c r="K90" i="5"/>
  <c r="E91" i="5" s="1"/>
  <c r="E92" i="5" s="1"/>
  <c r="H90" i="5"/>
  <c r="H91" i="5" s="1"/>
  <c r="G90" i="5"/>
  <c r="F90" i="5"/>
  <c r="E90" i="5"/>
  <c r="O89" i="5"/>
  <c r="I89" i="5"/>
  <c r="O88" i="5"/>
  <c r="I88" i="5"/>
  <c r="O87" i="5"/>
  <c r="I87" i="5"/>
  <c r="O86" i="5"/>
  <c r="I86" i="5"/>
  <c r="O85" i="5"/>
  <c r="I85" i="5"/>
  <c r="O84" i="5"/>
  <c r="I84" i="5"/>
  <c r="O83" i="5"/>
  <c r="I83" i="5"/>
  <c r="O82" i="5"/>
  <c r="I82" i="5"/>
  <c r="O81" i="5"/>
  <c r="I81" i="5"/>
  <c r="O80" i="5"/>
  <c r="I80" i="5"/>
  <c r="O79" i="5"/>
  <c r="I79" i="5"/>
  <c r="O78" i="5"/>
  <c r="I78" i="5"/>
  <c r="O77" i="5"/>
  <c r="I77" i="5"/>
  <c r="O76" i="5"/>
  <c r="O75" i="5"/>
  <c r="O74" i="5"/>
  <c r="O73" i="5"/>
  <c r="O72" i="5"/>
  <c r="O71" i="5"/>
  <c r="O70" i="5"/>
  <c r="O69" i="5"/>
  <c r="O68" i="5"/>
  <c r="O67" i="5"/>
  <c r="O66" i="5"/>
  <c r="O65" i="5"/>
  <c r="O64" i="5"/>
  <c r="O63" i="5"/>
  <c r="I63" i="5"/>
  <c r="O62" i="5"/>
  <c r="P44" i="5"/>
  <c r="U41" i="5"/>
  <c r="U43" i="5" s="1"/>
  <c r="T41" i="5"/>
  <c r="S41" i="5"/>
  <c r="R41" i="5"/>
  <c r="Q41" i="5"/>
  <c r="N38" i="5"/>
  <c r="M38" i="5"/>
  <c r="L38" i="5"/>
  <c r="K38" i="5"/>
  <c r="H38" i="5"/>
  <c r="H39" i="5" s="1"/>
  <c r="H40" i="5" s="1"/>
  <c r="G38" i="5"/>
  <c r="F38" i="5"/>
  <c r="F39" i="5" s="1"/>
  <c r="E38" i="5"/>
  <c r="E39" i="5" s="1"/>
  <c r="O37" i="5"/>
  <c r="I37" i="5"/>
  <c r="O36" i="5"/>
  <c r="I36" i="5"/>
  <c r="O35" i="5"/>
  <c r="I35" i="5"/>
  <c r="O34" i="5"/>
  <c r="I34" i="5"/>
  <c r="O33" i="5"/>
  <c r="I33" i="5"/>
  <c r="O32" i="5"/>
  <c r="I32" i="5"/>
  <c r="O31" i="5"/>
  <c r="I31" i="5"/>
  <c r="O30" i="5"/>
  <c r="I30" i="5"/>
  <c r="O29" i="5"/>
  <c r="I29" i="5"/>
  <c r="O28" i="5"/>
  <c r="I28" i="5"/>
  <c r="O27" i="5"/>
  <c r="I27" i="5"/>
  <c r="O26" i="5"/>
  <c r="I26" i="5"/>
  <c r="O25" i="5"/>
  <c r="I25" i="5"/>
  <c r="O24" i="5"/>
  <c r="I24" i="5"/>
  <c r="O23" i="5"/>
  <c r="I23" i="5"/>
  <c r="O22" i="5"/>
  <c r="I22" i="5"/>
  <c r="O21" i="5"/>
  <c r="I21" i="5"/>
  <c r="O20" i="5"/>
  <c r="I20" i="5"/>
  <c r="O19" i="5"/>
  <c r="I19" i="5"/>
  <c r="O18" i="5"/>
  <c r="I18" i="5"/>
  <c r="O17" i="5"/>
  <c r="I17" i="5"/>
  <c r="O16" i="5"/>
  <c r="I16" i="5"/>
  <c r="O15" i="5"/>
  <c r="I15" i="5"/>
  <c r="O14" i="5"/>
  <c r="I14" i="5"/>
  <c r="O13" i="5"/>
  <c r="I13" i="5"/>
  <c r="O12" i="5"/>
  <c r="I12" i="5"/>
  <c r="I11" i="5"/>
  <c r="O11" i="5"/>
  <c r="K101" i="4"/>
  <c r="P98" i="4"/>
  <c r="O98" i="4"/>
  <c r="K98" i="4" s="1"/>
  <c r="M98" i="4"/>
  <c r="L98" i="4"/>
  <c r="L100" i="4" s="1"/>
  <c r="L45" i="4"/>
  <c r="H96" i="4"/>
  <c r="G96" i="4"/>
  <c r="F96" i="4"/>
  <c r="E96" i="4"/>
  <c r="K48" i="4"/>
  <c r="P45" i="4"/>
  <c r="O45" i="4"/>
  <c r="N45" i="4"/>
  <c r="M45" i="4"/>
  <c r="H43" i="4"/>
  <c r="G43" i="4"/>
  <c r="F43" i="4"/>
  <c r="E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4" i="4"/>
  <c r="I13" i="4"/>
  <c r="I12" i="4"/>
  <c r="I11" i="4"/>
  <c r="Q103" i="4"/>
  <c r="M100" i="4"/>
  <c r="M103" i="4" s="1"/>
  <c r="O47" i="4"/>
  <c r="O49" i="4" s="1"/>
  <c r="P47" i="4"/>
  <c r="P49" i="4" s="1"/>
  <c r="Q95" i="5" l="1"/>
  <c r="Q97" i="5" s="1"/>
  <c r="G91" i="5"/>
  <c r="G92" i="5" s="1"/>
  <c r="P94" i="5"/>
  <c r="O90" i="5"/>
  <c r="V45" i="5"/>
  <c r="V46" i="5"/>
  <c r="Q43" i="5"/>
  <c r="Q45" i="5" s="1"/>
  <c r="Q100" i="5" s="1"/>
  <c r="O38" i="5"/>
  <c r="T43" i="5"/>
  <c r="T46" i="5" s="1"/>
  <c r="F91" i="5"/>
  <c r="F92" i="5" s="1"/>
  <c r="S95" i="5"/>
  <c r="S97" i="5" s="1"/>
  <c r="P93" i="5"/>
  <c r="H92" i="5"/>
  <c r="I90" i="5"/>
  <c r="P42" i="5"/>
  <c r="R43" i="5"/>
  <c r="R45" i="5" s="1"/>
  <c r="I38" i="5"/>
  <c r="J40" i="5" s="1"/>
  <c r="E40" i="5"/>
  <c r="F40" i="5"/>
  <c r="G39" i="5"/>
  <c r="G40" i="5" s="1"/>
  <c r="M47" i="4"/>
  <c r="M50" i="4" s="1"/>
  <c r="M106" i="4" s="1"/>
  <c r="L47" i="4"/>
  <c r="K47" i="4" s="1"/>
  <c r="Q47" i="4"/>
  <c r="Q49" i="4" s="1"/>
  <c r="Q105" i="4" s="1"/>
  <c r="I43" i="4"/>
  <c r="J44" i="4" s="1"/>
  <c r="N102" i="4"/>
  <c r="N103" i="4"/>
  <c r="N106" i="4" s="1"/>
  <c r="P100" i="4"/>
  <c r="I96" i="4"/>
  <c r="V98" i="5"/>
  <c r="V97" i="5"/>
  <c r="V100" i="5" s="1"/>
  <c r="U45" i="5"/>
  <c r="U46" i="5"/>
  <c r="U101" i="5" s="1"/>
  <c r="L102" i="4"/>
  <c r="L103" i="4"/>
  <c r="O105" i="4"/>
  <c r="J97" i="4"/>
  <c r="K45" i="4"/>
  <c r="P41" i="5"/>
  <c r="R95" i="5"/>
  <c r="U97" i="5"/>
  <c r="M102" i="4"/>
  <c r="T95" i="5"/>
  <c r="Q98" i="5"/>
  <c r="O103" i="4"/>
  <c r="P50" i="4"/>
  <c r="S43" i="5"/>
  <c r="O50" i="4"/>
  <c r="O106" i="4" s="1"/>
  <c r="N49" i="4"/>
  <c r="T45" i="5" l="1"/>
  <c r="V101" i="5"/>
  <c r="I91" i="5"/>
  <c r="Q46" i="5"/>
  <c r="Q101" i="5" s="1"/>
  <c r="S98" i="5"/>
  <c r="I92" i="5"/>
  <c r="J92" i="5"/>
  <c r="R46" i="5"/>
  <c r="I39" i="5"/>
  <c r="I40" i="5" s="1"/>
  <c r="M49" i="4"/>
  <c r="Q50" i="4"/>
  <c r="Q106" i="4" s="1"/>
  <c r="L49" i="4"/>
  <c r="L105" i="4" s="1"/>
  <c r="L50" i="4"/>
  <c r="L106" i="4" s="1"/>
  <c r="N105" i="4"/>
  <c r="P103" i="4"/>
  <c r="P106" i="4" s="1"/>
  <c r="P102" i="4"/>
  <c r="P105" i="4" s="1"/>
  <c r="K100" i="4"/>
  <c r="B99" i="4" s="1"/>
  <c r="S45" i="5"/>
  <c r="S100" i="5" s="1"/>
  <c r="S46" i="5"/>
  <c r="B46" i="4"/>
  <c r="B45" i="4"/>
  <c r="T97" i="5"/>
  <c r="T100" i="5" s="1"/>
  <c r="T98" i="5"/>
  <c r="T101" i="5" s="1"/>
  <c r="P95" i="5"/>
  <c r="R97" i="5"/>
  <c r="R100" i="5" s="1"/>
  <c r="R98" i="5"/>
  <c r="P43" i="5"/>
  <c r="U100" i="5"/>
  <c r="M105" i="4"/>
  <c r="R101" i="5" l="1"/>
  <c r="S101" i="5"/>
  <c r="B98" i="4"/>
  <c r="B94" i="5"/>
  <c r="B93" i="5"/>
  <c r="B41" i="5"/>
  <c r="B42" i="5"/>
</calcChain>
</file>

<file path=xl/sharedStrings.xml><?xml version="1.0" encoding="utf-8"?>
<sst xmlns="http://schemas.openxmlformats.org/spreadsheetml/2006/main" count="1892" uniqueCount="374">
  <si>
    <t>BUT 1 - INFO</t>
  </si>
  <si>
    <t>Parcours commun</t>
  </si>
  <si>
    <t>UE 1.1</t>
  </si>
  <si>
    <t>UE 1.2</t>
  </si>
  <si>
    <t>UE 1.3</t>
  </si>
  <si>
    <t>UE 1.4</t>
  </si>
  <si>
    <t>UE 1.5</t>
  </si>
  <si>
    <t>UE 1.6</t>
  </si>
  <si>
    <t>SEMESTRE 1</t>
  </si>
  <si>
    <t>Code Apogée de l'UE</t>
  </si>
  <si>
    <t>TIN0101U</t>
  </si>
  <si>
    <t>TIN0102U</t>
  </si>
  <si>
    <t>TIN0103U</t>
  </si>
  <si>
    <t>TIN0104U</t>
  </si>
  <si>
    <t>TIN0105U</t>
  </si>
  <si>
    <t>TIN0106U</t>
  </si>
  <si>
    <t>ANNÉE UNIVERSITAIRE 2023-2024</t>
  </si>
  <si>
    <t>Intitulé de la compétence</t>
  </si>
  <si>
    <t>UE1.1 - Réaliser - S1</t>
  </si>
  <si>
    <t>UE1.2 - Optimiser - S1</t>
  </si>
  <si>
    <t>UE1.3 - Administrer - S1</t>
  </si>
  <si>
    <t>UE1.4 - Gérer - S1</t>
  </si>
  <si>
    <t>UE1.5 - Conduire - S1</t>
  </si>
  <si>
    <t>UE1.6 - Collaborer - S1</t>
  </si>
  <si>
    <t>Niveau de la compétence</t>
  </si>
  <si>
    <t>Niveau 1</t>
  </si>
  <si>
    <t>Modalités (1)</t>
  </si>
  <si>
    <t>Intitulé des ressources et des SAÉ</t>
  </si>
  <si>
    <t xml:space="preserve">Code APOGEE </t>
  </si>
  <si>
    <t>Epreuves différentes si multi - compétence
oui / non (2)</t>
  </si>
  <si>
    <t>Formation initiale</t>
  </si>
  <si>
    <t>Coefficients
UE 1.1</t>
  </si>
  <si>
    <t>Coefficients
UE 1.2</t>
  </si>
  <si>
    <t>Coefficients
UE 1.3</t>
  </si>
  <si>
    <t>Coefficients
UE 1.4</t>
  </si>
  <si>
    <t>Coefficients
UE 1.5</t>
  </si>
  <si>
    <t>Coefficients
UE 1.6</t>
  </si>
  <si>
    <t>CM</t>
  </si>
  <si>
    <t>TD</t>
  </si>
  <si>
    <t>TP</t>
  </si>
  <si>
    <t>heures projets</t>
  </si>
  <si>
    <t>Total</t>
  </si>
  <si>
    <t>Dont
Volume adaptation locale</t>
  </si>
  <si>
    <t>NGCC</t>
  </si>
  <si>
    <t>SAÉ 1.01 Implémentation d'un besoin client </t>
  </si>
  <si>
    <t>TIN01A1S</t>
  </si>
  <si>
    <t>non</t>
  </si>
  <si>
    <t>TIN0111S</t>
  </si>
  <si>
    <t>SAÉ 1.02 Comparaison d'approches algorithmiques</t>
  </si>
  <si>
    <t>TIN01A2S</t>
  </si>
  <si>
    <t>TIN0122S</t>
  </si>
  <si>
    <t>SAÉ 1.03 Installation d'un poste pour le développement </t>
  </si>
  <si>
    <t>TIN01A3S</t>
  </si>
  <si>
    <t>TIN0133S</t>
  </si>
  <si>
    <t>SAÉ 1.04 Création d'une base de données</t>
  </si>
  <si>
    <t>TIN01A4S</t>
  </si>
  <si>
    <t>TIN0144S</t>
  </si>
  <si>
    <t>SAÉ 1.05 Recueil de besoins</t>
  </si>
  <si>
    <t>TIN01A5S</t>
  </si>
  <si>
    <t>TIN0155S</t>
  </si>
  <si>
    <t>SAÉ 1.06 Découverte de l'environnement économique et écologique </t>
  </si>
  <si>
    <t>TIN01A6S</t>
  </si>
  <si>
    <t>TIN01566S</t>
  </si>
  <si>
    <t>Portfolio</t>
  </si>
  <si>
    <t>TIN01A1P</t>
  </si>
  <si>
    <t>TIN01X1P</t>
  </si>
  <si>
    <t>R1.01 Initiation au développement</t>
  </si>
  <si>
    <t>TIN01A1M</t>
  </si>
  <si>
    <t>TIN01X1M</t>
  </si>
  <si>
    <t>R1.02 Développement d'interfaces web</t>
  </si>
  <si>
    <t>TIN01A2M</t>
  </si>
  <si>
    <t>TIN01X2M</t>
  </si>
  <si>
    <t>R1.03 Introduction à l'architecture des ordinateurs</t>
  </si>
  <si>
    <t>TIN01A3M</t>
  </si>
  <si>
    <t>TIN01X3M</t>
  </si>
  <si>
    <t>R1.04 Introduction aux systèmes d'exploitation et à leur fonctionnement</t>
  </si>
  <si>
    <t>TIN01A4M</t>
  </si>
  <si>
    <t>TIN0134M</t>
  </si>
  <si>
    <t>R1.05 Introduction aux bases de données et SQL</t>
  </si>
  <si>
    <t>TIN01A5M</t>
  </si>
  <si>
    <t>TIN0145M</t>
  </si>
  <si>
    <t>R1.06 Mathématiques discrètes</t>
  </si>
  <si>
    <t>TIN01A6M</t>
  </si>
  <si>
    <t>TIN01X6M</t>
  </si>
  <si>
    <t>R1.07 Outils mathématiques fondamentaux</t>
  </si>
  <si>
    <t>TIN01A7M</t>
  </si>
  <si>
    <t>TIN0127M</t>
  </si>
  <si>
    <t>R1.08 Introduction à la gestion des organisations</t>
  </si>
  <si>
    <t>TIN01A8M</t>
  </si>
  <si>
    <t>TIN01X8M</t>
  </si>
  <si>
    <t>R1.09 Introduction à l'économie durable et numérique</t>
  </si>
  <si>
    <t>TIN01A9M</t>
  </si>
  <si>
    <t>TIN01X9M</t>
  </si>
  <si>
    <t>R1.10 Anglais</t>
  </si>
  <si>
    <t>TIN01AAM</t>
  </si>
  <si>
    <t>TIN01XAM</t>
  </si>
  <si>
    <t>R1.11 Bases de la communication</t>
  </si>
  <si>
    <t>TIN01ABM</t>
  </si>
  <si>
    <t>TIN01XBM</t>
  </si>
  <si>
    <t>R1.12 Projet Personnel et Professionnel</t>
  </si>
  <si>
    <t>TIN01ACM</t>
  </si>
  <si>
    <t>TIN01XCM</t>
  </si>
  <si>
    <t>R1.13 Heures projets</t>
  </si>
  <si>
    <t>TIN01XHP</t>
  </si>
  <si>
    <t>R1.14 Heures projets autonomie</t>
  </si>
  <si>
    <t>TIN01XHA</t>
  </si>
  <si>
    <t>Total Heures / étudiant</t>
  </si>
  <si>
    <t>% adaptation locale</t>
  </si>
  <si>
    <t xml:space="preserve"> % SAÉ</t>
  </si>
  <si>
    <t>Total coeffIcients SAÉ</t>
  </si>
  <si>
    <t xml:space="preserve"> % Ressources</t>
  </si>
  <si>
    <t>Total coeffIcients Ressources</t>
  </si>
  <si>
    <t>Total coeffIcients SAÉ + Ressources</t>
  </si>
  <si>
    <t>ECTS</t>
  </si>
  <si>
    <t>% SAÉ (S1)</t>
  </si>
  <si>
    <t>% ressources (S1)</t>
  </si>
  <si>
    <t>(1) NGCC (Note Globale de Contrôle Continu) : une note issue d'une ou plusieurs évaluations régulièrement effectuées tout au long de la ressource ou de la SAÉ.</t>
  </si>
  <si>
    <t>(2) Si OUI cela signifie que les notes seront différentes par compétences / si NON cela signifie qu'il y aura la même note pour chaque compétence</t>
  </si>
  <si>
    <t>UE 2.1</t>
  </si>
  <si>
    <t>UE 2.2</t>
  </si>
  <si>
    <t>UE 2.3</t>
  </si>
  <si>
    <t>UE 2.4</t>
  </si>
  <si>
    <t>UE 2.5</t>
  </si>
  <si>
    <t>UE 2.6</t>
  </si>
  <si>
    <t>SEMESTRE 2</t>
  </si>
  <si>
    <t>TIN0201U</t>
  </si>
  <si>
    <t>TIN0202U</t>
  </si>
  <si>
    <t>TIN0203U</t>
  </si>
  <si>
    <t>TIN0204U</t>
  </si>
  <si>
    <t>TIN0205U</t>
  </si>
  <si>
    <t>TIN0206U</t>
  </si>
  <si>
    <t>UE2.1 - Réaliser - S2</t>
  </si>
  <si>
    <t>UE2.2 - Optimiser - S2</t>
  </si>
  <si>
    <t>UE2.3 - Administrer - S2</t>
  </si>
  <si>
    <t>UE2.4 - Gérer - S2</t>
  </si>
  <si>
    <t>UE2.5 - Conduire - S2</t>
  </si>
  <si>
    <t>UE2.6 - Collaborer - S2</t>
  </si>
  <si>
    <t>Coefficients
UE 2.1</t>
  </si>
  <si>
    <t>Coefficients
UE 2.2</t>
  </si>
  <si>
    <t>Coefficients
UE 2.3</t>
  </si>
  <si>
    <t>Coefficients
UE 2.4</t>
  </si>
  <si>
    <t>Coefficients
UE 2.5</t>
  </si>
  <si>
    <t>Coefficients
UE 2.6</t>
  </si>
  <si>
    <t>Heures Projets</t>
  </si>
  <si>
    <t>SAÉ 2.01 Développement d'une application </t>
  </si>
  <si>
    <t>TIN02A1S</t>
  </si>
  <si>
    <t>TIN0211S</t>
  </si>
  <si>
    <t>SAÉ 2.02 Exploration algorithmique d'un problème</t>
  </si>
  <si>
    <t>TIN02A2S</t>
  </si>
  <si>
    <t>TIN0222S</t>
  </si>
  <si>
    <t>SAÉ 2.03 Installation de services réseau </t>
  </si>
  <si>
    <t>TIN02A3S</t>
  </si>
  <si>
    <t>TIN0233S</t>
  </si>
  <si>
    <t>SAÉ 2.04 Exploitation d'une base de données</t>
  </si>
  <si>
    <t>TIN02A4S</t>
  </si>
  <si>
    <t>TIN0244S</t>
  </si>
  <si>
    <t>SAÉ 2.05 Gestion d'un projet</t>
  </si>
  <si>
    <t>TIN02A5S</t>
  </si>
  <si>
    <t>TIN0255S</t>
  </si>
  <si>
    <t>SAÉ 2.06 Organisation d'un travail d'équipe</t>
  </si>
  <si>
    <t>TIN02A6S</t>
  </si>
  <si>
    <t>TIN0266S</t>
  </si>
  <si>
    <t>TIN02A1P</t>
  </si>
  <si>
    <t>TIN02X1P</t>
  </si>
  <si>
    <t>R2.01 Développement orienté objets</t>
  </si>
  <si>
    <t>TIN02A1M</t>
  </si>
  <si>
    <t>TIN02X1M</t>
  </si>
  <si>
    <t>R2.02 Développement d'applications avec IHM</t>
  </si>
  <si>
    <t>TIN02A2M</t>
  </si>
  <si>
    <t>TIN02X2M</t>
  </si>
  <si>
    <t>R2.03 Qualité de développement</t>
  </si>
  <si>
    <t>TIN02A3M</t>
  </si>
  <si>
    <t>TIN02X3M</t>
  </si>
  <si>
    <t>R2.04 Communication et fonctionnement bas niveau</t>
  </si>
  <si>
    <t>TIN02A4M</t>
  </si>
  <si>
    <t>TIN02X4M</t>
  </si>
  <si>
    <t>R2.05 Introduction aux services réseaux</t>
  </si>
  <si>
    <t>TIN02A5M</t>
  </si>
  <si>
    <t>TIN0235M</t>
  </si>
  <si>
    <t>R2.06 Exploitation d'une base de données</t>
  </si>
  <si>
    <t>TIN02A6M</t>
  </si>
  <si>
    <t>TIN0246M</t>
  </si>
  <si>
    <t>R2.07 Graphes</t>
  </si>
  <si>
    <t>TIN02A7M</t>
  </si>
  <si>
    <t>TIN02X7M</t>
  </si>
  <si>
    <t>R2.08 Outils numériques pour les statistiques descriptives</t>
  </si>
  <si>
    <t>TIN02A8M</t>
  </si>
  <si>
    <t>TIN0248M</t>
  </si>
  <si>
    <t>R2.09 Méthodes numériques</t>
  </si>
  <si>
    <t>TIN02A9M</t>
  </si>
  <si>
    <t>TIN0229M</t>
  </si>
  <si>
    <t>R2.10 Introduction à la gestion des systèmes d'information</t>
  </si>
  <si>
    <t>TIN02AAM</t>
  </si>
  <si>
    <t>TIN02XAM</t>
  </si>
  <si>
    <t>R2.11 Introduction au droit</t>
  </si>
  <si>
    <t>TIN02ABM</t>
  </si>
  <si>
    <t>TIN026BM</t>
  </si>
  <si>
    <t>R2.12 Anglais</t>
  </si>
  <si>
    <t>TIN02ACM</t>
  </si>
  <si>
    <t>TIN02XCM</t>
  </si>
  <si>
    <t>R2.13 Communication technique</t>
  </si>
  <si>
    <t>TIN02ADM</t>
  </si>
  <si>
    <t>TIN02XDM</t>
  </si>
  <si>
    <t>R2.14 Projet Personnel et Professionnel</t>
  </si>
  <si>
    <t>TIN02AEM</t>
  </si>
  <si>
    <t>TIN02XEM</t>
  </si>
  <si>
    <t>R2.15 Heures projets</t>
  </si>
  <si>
    <t>TIN02XHP</t>
  </si>
  <si>
    <t>R2.16 Heures projets autonomie</t>
  </si>
  <si>
    <t>TIN02XHA</t>
  </si>
  <si>
    <t>% SAÉ (S2)</t>
  </si>
  <si>
    <t>% ressources (S2)</t>
  </si>
  <si>
    <t>% SAÉ (année 1)</t>
  </si>
  <si>
    <t>% ressources (année 1)</t>
  </si>
  <si>
    <t>BUT 2 - INFO</t>
  </si>
  <si>
    <t>Parcours 1 : Réalisation d'Applications : Conception, Développement, Validation (RACDV)</t>
  </si>
  <si>
    <t>UE 3.1</t>
  </si>
  <si>
    <t>UE 3.2</t>
  </si>
  <si>
    <t>UE 3.3</t>
  </si>
  <si>
    <t>UE 3.4</t>
  </si>
  <si>
    <t>UE 3.5</t>
  </si>
  <si>
    <t>UE 3.6</t>
  </si>
  <si>
    <t>SEMESTRE 3</t>
  </si>
  <si>
    <t>TIN1301U</t>
  </si>
  <si>
    <t>TIN1302U</t>
  </si>
  <si>
    <t>TIN1303U</t>
  </si>
  <si>
    <t>TIN1304U</t>
  </si>
  <si>
    <t>TIN1305U</t>
  </si>
  <si>
    <t>TIN1306U</t>
  </si>
  <si>
    <t>UE3.1 Réaliser - Partir des exigences et aller jusqu'à une application complète - S3</t>
  </si>
  <si>
    <t>UE3.2 Optimiser - Sélectionner les algorithmes adéquats pour répondre à un pb donné - S3</t>
  </si>
  <si>
    <t>UE3.3 Administrer - Déployer des services dans une architecture réseau  - S3</t>
  </si>
  <si>
    <t>UE3.4 Gérer - Optimiser une base de données, interagir avec une application et mettre en œuvre la sécurité  - S3</t>
  </si>
  <si>
    <t>UE3.5 Conduire - Appliquer une démarche de suivi de projet en fonction des besoins métiers des clients et des utilisateurs  - S3</t>
  </si>
  <si>
    <t>UE3.6 Collaborer - Situer son rôle et ses missions au sein d'une équipe informatique  - S3</t>
  </si>
  <si>
    <t>Niveau 2</t>
  </si>
  <si>
    <t>Alternance</t>
  </si>
  <si>
    <t>Coefficients
UE 3.1</t>
  </si>
  <si>
    <t>Coefficients
UE 3.2</t>
  </si>
  <si>
    <t>Coefficients
UE 3.3</t>
  </si>
  <si>
    <t>Coefficients
UE 3.4</t>
  </si>
  <si>
    <t>Coefficients
UE 3.5</t>
  </si>
  <si>
    <t>Coefficients
UE 3.6</t>
  </si>
  <si>
    <t>SAE 3.01 Développement d’une application</t>
  </si>
  <si>
    <t>TIN13A1S</t>
  </si>
  <si>
    <t>TIN13X1S</t>
  </si>
  <si>
    <t>TIN13A1P</t>
  </si>
  <si>
    <t>TIN13X1P</t>
  </si>
  <si>
    <t xml:space="preserve">R3.01 Développement web </t>
  </si>
  <si>
    <t>TIN13A1M</t>
  </si>
  <si>
    <t>TIN13X1M</t>
  </si>
  <si>
    <t xml:space="preserve">R3.02 Développement efficace </t>
  </si>
  <si>
    <t>TIN13A2M</t>
  </si>
  <si>
    <t>TIN13X2M</t>
  </si>
  <si>
    <t>R3.03 Analyse</t>
  </si>
  <si>
    <t>TIN13A3M</t>
  </si>
  <si>
    <t>TIN13X3M</t>
  </si>
  <si>
    <t>R3.04 Qualité et developpement</t>
  </si>
  <si>
    <t>TIN13A4M</t>
  </si>
  <si>
    <t>TIN13X4M</t>
  </si>
  <si>
    <t>R3.05 Programmation système</t>
  </si>
  <si>
    <t>TIN13A5M</t>
  </si>
  <si>
    <t>TIN13X5M</t>
  </si>
  <si>
    <t xml:space="preserve">R3.06 Architecture des réseaux </t>
  </si>
  <si>
    <t>TIN13A6M</t>
  </si>
  <si>
    <t>TIN13X6M</t>
  </si>
  <si>
    <t>R3.07 SQL dans un langage de programmation</t>
  </si>
  <si>
    <t>TIN13A7M</t>
  </si>
  <si>
    <t>TIN1347M</t>
  </si>
  <si>
    <t xml:space="preserve">R3.08 Probabilités </t>
  </si>
  <si>
    <t>TIN13A8M</t>
  </si>
  <si>
    <t>TIN13X8M</t>
  </si>
  <si>
    <t xml:space="preserve">R3.09 Cryptographie et sécurité </t>
  </si>
  <si>
    <t>TIN13A9M</t>
  </si>
  <si>
    <t>TIN13X9M</t>
  </si>
  <si>
    <t xml:space="preserve">R3.10 Management des systèmes d’information </t>
  </si>
  <si>
    <t>TIN13AAM</t>
  </si>
  <si>
    <t>TIN13XAM</t>
  </si>
  <si>
    <t xml:space="preserve">R3.11 Droit des contrats et du numérique </t>
  </si>
  <si>
    <t>TIN13ABM</t>
  </si>
  <si>
    <t>TIN13XBM</t>
  </si>
  <si>
    <t xml:space="preserve">R3.12 Anglais </t>
  </si>
  <si>
    <t>TIN13ACM</t>
  </si>
  <si>
    <t>TIN13XCM</t>
  </si>
  <si>
    <t xml:space="preserve">R3.13 Communication professionnelle	</t>
  </si>
  <si>
    <t>TIN13ADM</t>
  </si>
  <si>
    <t>TIN13XDM</t>
  </si>
  <si>
    <t>R3.14 Projet personnel et professionnel</t>
  </si>
  <si>
    <t>TIN13AEM</t>
  </si>
  <si>
    <t>TIN13XEM</t>
  </si>
  <si>
    <t>Heures projets</t>
  </si>
  <si>
    <t>TIN13XHP</t>
  </si>
  <si>
    <t>Heures projets autonomie</t>
  </si>
  <si>
    <t>TIN13XHA</t>
  </si>
  <si>
    <t>Variation Formation initiale / Alternance</t>
  </si>
  <si>
    <t>Variation Formation initiale / Alternance en pourcentage</t>
  </si>
  <si>
    <t>% SAÉ (S3)</t>
  </si>
  <si>
    <t>% ressources (S3)</t>
  </si>
  <si>
    <t>(1) NGCC (Note Globale de Contrôle Continu) : une note issue d'une ou plusieurs évaluations, régulièrement effectuées tout au long de la ressource ou de la SAÉ, que le parcours soit suivi en formation initiale ou en alternance.</t>
  </si>
  <si>
    <t>UE 4.1</t>
  </si>
  <si>
    <t>UE 4.2</t>
  </si>
  <si>
    <t>UE 4.3</t>
  </si>
  <si>
    <t>UE 4.4</t>
  </si>
  <si>
    <t>UE 4.5</t>
  </si>
  <si>
    <t>UE 4.6</t>
  </si>
  <si>
    <t>SEMESTRE 4</t>
  </si>
  <si>
    <t>TIN1401U</t>
  </si>
  <si>
    <t>TIN1402U</t>
  </si>
  <si>
    <t>TIN1403U</t>
  </si>
  <si>
    <t>TIN1404U</t>
  </si>
  <si>
    <t>TIN1405U</t>
  </si>
  <si>
    <t>UE4.1 - Partir des exigences et aller jusqu'à une application complète - S4</t>
  </si>
  <si>
    <t>UE4.2 - Sélectionner les algorithmes adéquats pour répondre à un pb donné - S4</t>
  </si>
  <si>
    <t>UE4.3 - Déployer des services dans une architecture réseau - S4</t>
  </si>
  <si>
    <t>UE4.4 - Optimiser une base de données, interagir avec une application et mettre en œuvre la sécurité - S4</t>
  </si>
  <si>
    <t>UE4.5 - Appliquer une démarche de suivi de projet en fonction des besoins métiers des clients et des utilisateurs - S4</t>
  </si>
  <si>
    <t>UE3.6 - Situer son rôle et ses missions au sein d'une équipe informatique  - S3</t>
  </si>
  <si>
    <t>Coefficients
UE 4.1</t>
  </si>
  <si>
    <t>Coefficients
UE 4.2</t>
  </si>
  <si>
    <t>Coefficients
UE 4.3</t>
  </si>
  <si>
    <t>Coefficients
UE 4.4</t>
  </si>
  <si>
    <t>Coefficients
UE 4.5</t>
  </si>
  <si>
    <t>Coefficients
UE 4.6</t>
  </si>
  <si>
    <t>SAE 4.01 Développement d'une application complexe</t>
  </si>
  <si>
    <t>TIN14A1S</t>
  </si>
  <si>
    <t>TIN14X1S</t>
  </si>
  <si>
    <t>Stage</t>
  </si>
  <si>
    <t>TIN14A2S</t>
  </si>
  <si>
    <t>TIN14X2S</t>
  </si>
  <si>
    <t>TIN14A1P</t>
  </si>
  <si>
    <t>TIN14X1P</t>
  </si>
  <si>
    <t>R4.01 Architecture logicielle</t>
  </si>
  <si>
    <t>TIN14A1M</t>
  </si>
  <si>
    <t>TIN14X1M</t>
  </si>
  <si>
    <t>R4.02 Qualité et développement</t>
  </si>
  <si>
    <t>TIN14A2M</t>
  </si>
  <si>
    <t>TIN14X2M</t>
  </si>
  <si>
    <t>R4.03 Qualité au-delà du relationnel</t>
  </si>
  <si>
    <t>TIN14A3M</t>
  </si>
  <si>
    <t>TIN1443M</t>
  </si>
  <si>
    <t>R4.04 Méthode d'optimisation</t>
  </si>
  <si>
    <t>TIN14A4M</t>
  </si>
  <si>
    <t>TIN1424M</t>
  </si>
  <si>
    <t>R4.05 Anglais</t>
  </si>
  <si>
    <t>TIN14A5M</t>
  </si>
  <si>
    <t>TIN14X5M</t>
  </si>
  <si>
    <t>R4.06 Communication interne</t>
  </si>
  <si>
    <t>TIN14A6M</t>
  </si>
  <si>
    <t>TIN14X6M</t>
  </si>
  <si>
    <t>R4.07 Projet personnel et professionnel</t>
  </si>
  <si>
    <t>TIN14A7M</t>
  </si>
  <si>
    <t>TIN14X7M</t>
  </si>
  <si>
    <t>R4.08 Virtualisation</t>
  </si>
  <si>
    <t>TIN14A8M</t>
  </si>
  <si>
    <t>TIN1438M</t>
  </si>
  <si>
    <t>R4.09 Management avancé des systèmes d’information</t>
  </si>
  <si>
    <t>TIN14A9M</t>
  </si>
  <si>
    <t>TIN14X9M</t>
  </si>
  <si>
    <t>R4.10 Complément web</t>
  </si>
  <si>
    <t>TIN14AAM</t>
  </si>
  <si>
    <t>TIN14XAM</t>
  </si>
  <si>
    <t>R4.11 Développement pour applications mobiles</t>
  </si>
  <si>
    <t>TIN14ABM</t>
  </si>
  <si>
    <t>TIN14XBM</t>
  </si>
  <si>
    <t xml:space="preserve">R4.12 Automates et Langages </t>
  </si>
  <si>
    <t>TIN14ACM</t>
  </si>
  <si>
    <t>TIN142CM</t>
  </si>
  <si>
    <t>TIN14XHP</t>
  </si>
  <si>
    <t>TIN14XHA</t>
  </si>
  <si>
    <t>% SAÉ (S4)</t>
  </si>
  <si>
    <t>% ressources (S4)</t>
  </si>
  <si>
    <t>% SAÉ (année 2)</t>
  </si>
  <si>
    <t>% ressources (année 2)</t>
  </si>
  <si>
    <t>oui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</si>
</sst>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72"/>
      <color indexed="8"/>
      <name val="Calibri"/>
      <family val="2"/>
    </font>
    <font>
      <b/>
      <sz val="16"/>
      <color indexed="8"/>
      <name val="Calibri"/>
      <family val="2"/>
    </font>
    <font>
      <b/>
      <sz val="4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40"/>
      <color indexed="8"/>
      <name val="Calibri"/>
      <family val="2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rgb="FF0070C0"/>
      <name val="Calibri"/>
      <family val="2"/>
      <scheme val="minor"/>
    </font>
    <font>
      <b/>
      <sz val="40"/>
      <color rgb="FFFF0000"/>
      <name val="Calibri"/>
      <family val="2"/>
    </font>
    <font>
      <sz val="16"/>
      <color rgb="FF000000"/>
      <name val="Calibri"/>
      <family val="2"/>
      <scheme val="minor"/>
    </font>
    <font>
      <sz val="16"/>
      <color indexed="8"/>
      <name val="Calibri"/>
      <family val="2"/>
    </font>
    <font>
      <b/>
      <sz val="26"/>
      <color theme="5" tint="-0.249977111117893"/>
      <name val="Calibri"/>
      <family val="2"/>
      <scheme val="minor"/>
    </font>
    <font>
      <b/>
      <sz val="26"/>
      <color theme="5" tint="-0.249977111117893"/>
      <name val="Calibri"/>
      <family val="2"/>
    </font>
    <font>
      <b/>
      <sz val="48"/>
      <color rgb="FF0070C0"/>
      <name val="Calibri"/>
      <family val="2"/>
    </font>
    <font>
      <b/>
      <sz val="48"/>
      <color rgb="FF0070C0"/>
      <name val="Calibri"/>
      <family val="2"/>
      <scheme val="minor"/>
    </font>
    <font>
      <b/>
      <sz val="60"/>
      <name val="Calibri"/>
      <family val="2"/>
    </font>
    <font>
      <sz val="16"/>
      <color theme="4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24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/>
    <xf numFmtId="0" fontId="5" fillId="0" borderId="0" xfId="1" applyFont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8" fillId="5" borderId="1" xfId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wrapText="1"/>
    </xf>
    <xf numFmtId="0" fontId="6" fillId="0" borderId="1" xfId="1" applyFont="1" applyBorder="1" applyAlignment="1">
      <alignment horizontal="center" vertical="center" wrapText="1"/>
    </xf>
    <xf numFmtId="0" fontId="4" fillId="3" borderId="1" xfId="1" applyFont="1" applyFill="1" applyBorder="1" applyAlignment="1">
      <alignment horizontal="left" vertical="center" wrapText="1"/>
    </xf>
    <xf numFmtId="0" fontId="14" fillId="4" borderId="1" xfId="1" applyFont="1" applyFill="1" applyBorder="1" applyAlignment="1">
      <alignment horizontal="left" vertical="center" wrapText="1"/>
    </xf>
    <xf numFmtId="0" fontId="15" fillId="2" borderId="1" xfId="1" applyFont="1" applyFill="1" applyBorder="1" applyAlignment="1">
      <alignment horizontal="left" vertical="center" wrapText="1"/>
    </xf>
    <xf numFmtId="2" fontId="4" fillId="3" borderId="1" xfId="0" applyNumberFormat="1" applyFont="1" applyFill="1" applyBorder="1" applyAlignment="1">
      <alignment horizontal="center" vertical="center"/>
    </xf>
    <xf numFmtId="2" fontId="4" fillId="4" borderId="1" xfId="0" applyNumberFormat="1" applyFont="1" applyFill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2" fontId="3" fillId="6" borderId="1" xfId="0" applyNumberFormat="1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right" vertical="center"/>
    </xf>
    <xf numFmtId="0" fontId="16" fillId="6" borderId="3" xfId="0" applyFont="1" applyFill="1" applyBorder="1" applyAlignment="1">
      <alignment horizontal="right" vertical="center"/>
    </xf>
    <xf numFmtId="0" fontId="16" fillId="6" borderId="1" xfId="0" applyFont="1" applyFill="1" applyBorder="1" applyAlignment="1">
      <alignment horizontal="center" vertical="center"/>
    </xf>
    <xf numFmtId="0" fontId="17" fillId="6" borderId="2" xfId="1" applyFont="1" applyFill="1" applyBorder="1" applyAlignment="1">
      <alignment horizontal="right" vertical="center" wrapText="1"/>
    </xf>
    <xf numFmtId="0" fontId="17" fillId="6" borderId="3" xfId="1" applyFont="1" applyFill="1" applyBorder="1" applyAlignment="1">
      <alignment horizontal="right" vertical="center" wrapText="1"/>
    </xf>
    <xf numFmtId="0" fontId="5" fillId="0" borderId="0" xfId="1" applyFont="1" applyAlignment="1">
      <alignment horizontal="right" vertical="center" wrapText="1"/>
    </xf>
    <xf numFmtId="0" fontId="9" fillId="0" borderId="0" xfId="1" applyFont="1" applyAlignment="1">
      <alignment horizontal="right" vertical="center" wrapText="1"/>
    </xf>
    <xf numFmtId="0" fontId="16" fillId="6" borderId="2" xfId="0" applyFont="1" applyFill="1" applyBorder="1" applyAlignment="1">
      <alignment horizontal="left" vertical="center"/>
    </xf>
    <xf numFmtId="0" fontId="16" fillId="6" borderId="3" xfId="0" applyFont="1" applyFill="1" applyBorder="1" applyAlignment="1">
      <alignment horizontal="left" vertical="center"/>
    </xf>
    <xf numFmtId="2" fontId="16" fillId="6" borderId="1" xfId="0" applyNumberFormat="1" applyFont="1" applyFill="1" applyBorder="1" applyAlignment="1">
      <alignment horizontal="center" vertical="center"/>
    </xf>
    <xf numFmtId="0" fontId="20" fillId="0" borderId="0" xfId="1" applyFont="1" applyAlignment="1">
      <alignment horizontal="right" vertical="center" wrapText="1"/>
    </xf>
    <xf numFmtId="0" fontId="20" fillId="0" borderId="0" xfId="1" applyFont="1" applyAlignment="1">
      <alignment vertical="center" wrapText="1"/>
    </xf>
    <xf numFmtId="0" fontId="13" fillId="0" borderId="0" xfId="1" applyFont="1" applyAlignment="1">
      <alignment horizontal="center" vertical="center" wrapText="1"/>
    </xf>
    <xf numFmtId="0" fontId="5" fillId="0" borderId="0" xfId="1" applyFont="1" applyAlignment="1">
      <alignment vertical="center" wrapText="1"/>
    </xf>
    <xf numFmtId="0" fontId="3" fillId="0" borderId="3" xfId="0" applyFont="1" applyBorder="1" applyAlignment="1">
      <alignment horizontal="center" vertical="center"/>
    </xf>
    <xf numFmtId="0" fontId="8" fillId="7" borderId="2" xfId="0" applyFont="1" applyFill="1" applyBorder="1" applyAlignment="1">
      <alignment horizontal="right" vertical="center"/>
    </xf>
    <xf numFmtId="0" fontId="3" fillId="7" borderId="1" xfId="0" applyFont="1" applyFill="1" applyBorder="1" applyAlignment="1">
      <alignment horizontal="center" vertical="center"/>
    </xf>
    <xf numFmtId="0" fontId="13" fillId="0" borderId="0" xfId="1" applyFont="1" applyAlignment="1">
      <alignment vertical="center" wrapText="1"/>
    </xf>
    <xf numFmtId="9" fontId="3" fillId="7" borderId="1" xfId="0" applyNumberFormat="1" applyFont="1" applyFill="1" applyBorder="1" applyAlignment="1">
      <alignment horizontal="center" vertical="center"/>
    </xf>
    <xf numFmtId="0" fontId="8" fillId="0" borderId="0" xfId="1" applyFont="1" applyAlignment="1">
      <alignment horizontal="center" vertical="center" wrapText="1"/>
    </xf>
    <xf numFmtId="0" fontId="12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3" fillId="0" borderId="0" xfId="1" applyFont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5" fillId="0" borderId="0" xfId="1" applyFont="1" applyAlignment="1">
      <alignment horizontal="left" vertical="center" wrapText="1"/>
    </xf>
    <xf numFmtId="0" fontId="9" fillId="0" borderId="0" xfId="1" applyFont="1" applyAlignment="1">
      <alignment horizontal="left" vertical="center" wrapText="1"/>
    </xf>
    <xf numFmtId="0" fontId="20" fillId="0" borderId="0" xfId="1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8" fillId="0" borderId="11" xfId="1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 vertical="top" wrapText="1"/>
    </xf>
    <xf numFmtId="0" fontId="11" fillId="0" borderId="11" xfId="0" applyFont="1" applyBorder="1" applyAlignment="1">
      <alignment horizontal="left" vertical="top" wrapText="1"/>
    </xf>
    <xf numFmtId="0" fontId="3" fillId="0" borderId="11" xfId="1" applyFont="1" applyBorder="1" applyAlignment="1">
      <alignment horizontal="left" vertical="center" wrapText="1"/>
    </xf>
    <xf numFmtId="0" fontId="3" fillId="0" borderId="10" xfId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2" fontId="3" fillId="6" borderId="1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4" fillId="3" borderId="1" xfId="0" applyNumberFormat="1" applyFont="1" applyFill="1" applyBorder="1" applyAlignment="1">
      <alignment horizontal="left" vertical="center"/>
    </xf>
    <xf numFmtId="2" fontId="4" fillId="4" borderId="1" xfId="0" applyNumberFormat="1" applyFont="1" applyFill="1" applyBorder="1" applyAlignment="1">
      <alignment horizontal="left" vertical="center"/>
    </xf>
    <xf numFmtId="2" fontId="4" fillId="2" borderId="1" xfId="0" applyNumberFormat="1" applyFont="1" applyFill="1" applyBorder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0" fontId="4" fillId="5" borderId="1" xfId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2" fillId="5" borderId="1" xfId="1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8" fillId="0" borderId="7" xfId="1" applyFont="1" applyBorder="1" applyAlignment="1">
      <alignment horizontal="center" vertical="center" wrapText="1"/>
    </xf>
    <xf numFmtId="0" fontId="8" fillId="0" borderId="2" xfId="0" applyFont="1" applyBorder="1" applyAlignment="1">
      <alignment horizontal="right" vertical="center"/>
    </xf>
    <xf numFmtId="0" fontId="8" fillId="0" borderId="3" xfId="0" applyFont="1" applyBorder="1" applyAlignment="1">
      <alignment horizontal="right" vertical="center"/>
    </xf>
    <xf numFmtId="0" fontId="20" fillId="0" borderId="7" xfId="1" applyFont="1" applyBorder="1" applyAlignment="1">
      <alignment horizontal="center" vertical="center" wrapText="1"/>
    </xf>
    <xf numFmtId="0" fontId="8" fillId="7" borderId="1" xfId="0" applyFont="1" applyFill="1" applyBorder="1" applyAlignment="1">
      <alignment horizontal="right" vertical="center"/>
    </xf>
    <xf numFmtId="9" fontId="3" fillId="7" borderId="3" xfId="0" applyNumberFormat="1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 wrapText="1"/>
    </xf>
    <xf numFmtId="2" fontId="4" fillId="4" borderId="1" xfId="0" applyNumberFormat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  <xf numFmtId="0" fontId="13" fillId="0" borderId="0" xfId="1" applyFont="1" applyAlignment="1">
      <alignment horizontal="left" vertical="center" wrapText="1"/>
    </xf>
    <xf numFmtId="2" fontId="4" fillId="3" borderId="1" xfId="0" applyNumberFormat="1" applyFont="1" applyFill="1" applyBorder="1" applyAlignment="1">
      <alignment horizontal="left" vertical="center" wrapText="1"/>
    </xf>
    <xf numFmtId="2" fontId="4" fillId="4" borderId="1" xfId="0" applyNumberFormat="1" applyFont="1" applyFill="1" applyBorder="1" applyAlignment="1">
      <alignment horizontal="left" vertical="center" wrapText="1"/>
    </xf>
    <xf numFmtId="2" fontId="4" fillId="2" borderId="1" xfId="0" applyNumberFormat="1" applyFont="1" applyFill="1" applyBorder="1" applyAlignment="1">
      <alignment horizontal="left" vertical="center" wrapText="1"/>
    </xf>
    <xf numFmtId="0" fontId="3" fillId="7" borderId="3" xfId="0" applyFont="1" applyFill="1" applyBorder="1" applyAlignment="1">
      <alignment horizontal="center" vertical="center"/>
    </xf>
    <xf numFmtId="11" fontId="4" fillId="3" borderId="1" xfId="0" applyNumberFormat="1" applyFont="1" applyFill="1" applyBorder="1" applyAlignment="1">
      <alignment horizontal="center" vertical="center"/>
    </xf>
    <xf numFmtId="11" fontId="4" fillId="2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17" fillId="6" borderId="2" xfId="1" applyFont="1" applyFill="1" applyBorder="1" applyAlignment="1">
      <alignment horizontal="right" vertical="center" wrapText="1"/>
    </xf>
    <xf numFmtId="0" fontId="17" fillId="6" borderId="3" xfId="1" applyFont="1" applyFill="1" applyBorder="1" applyAlignment="1">
      <alignment horizontal="right" vertical="center" wrapText="1"/>
    </xf>
    <xf numFmtId="0" fontId="8" fillId="0" borderId="2" xfId="0" applyFont="1" applyBorder="1" applyAlignment="1">
      <alignment horizontal="right" vertical="center"/>
    </xf>
    <xf numFmtId="0" fontId="8" fillId="0" borderId="3" xfId="0" applyFont="1" applyBorder="1" applyAlignment="1">
      <alignment horizontal="right" vertical="center"/>
    </xf>
    <xf numFmtId="0" fontId="8" fillId="0" borderId="4" xfId="0" applyFont="1" applyBorder="1" applyAlignment="1">
      <alignment horizontal="right" vertical="center"/>
    </xf>
    <xf numFmtId="0" fontId="3" fillId="7" borderId="3" xfId="0" applyFont="1" applyFill="1" applyBorder="1" applyAlignment="1">
      <alignment horizontal="right" vertical="center"/>
    </xf>
    <xf numFmtId="0" fontId="18" fillId="0" borderId="0" xfId="1" applyFont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13" fillId="0" borderId="0" xfId="1" applyFont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20" fillId="0" borderId="0" xfId="1" applyFont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0" fontId="6" fillId="0" borderId="12" xfId="1" applyFont="1" applyBorder="1" applyAlignment="1">
      <alignment horizontal="center" vertical="center" wrapText="1"/>
    </xf>
    <xf numFmtId="0" fontId="6" fillId="0" borderId="13" xfId="1" applyFont="1" applyBorder="1" applyAlignment="1">
      <alignment horizontal="center" vertical="center" wrapText="1"/>
    </xf>
    <xf numFmtId="0" fontId="6" fillId="0" borderId="14" xfId="1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20" fillId="0" borderId="7" xfId="1" applyFont="1" applyBorder="1" applyAlignment="1">
      <alignment horizontal="center" vertical="center" wrapText="1"/>
    </xf>
    <xf numFmtId="0" fontId="8" fillId="7" borderId="2" xfId="0" applyFont="1" applyFill="1" applyBorder="1" applyAlignment="1">
      <alignment horizontal="right" vertical="center"/>
    </xf>
    <xf numFmtId="0" fontId="8" fillId="7" borderId="3" xfId="0" applyFont="1" applyFill="1" applyBorder="1" applyAlignment="1">
      <alignment horizontal="right" vertical="center"/>
    </xf>
    <xf numFmtId="0" fontId="8" fillId="7" borderId="4" xfId="0" applyFont="1" applyFill="1" applyBorder="1" applyAlignment="1">
      <alignment horizontal="right" vertical="center"/>
    </xf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24854"/>
      <color rgb="FFFF7979"/>
      <color rgb="FFFF6969"/>
      <color rgb="FFE884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187099</xdr:colOff>
      <xdr:row>0</xdr:row>
      <xdr:rowOff>0</xdr:rowOff>
    </xdr:from>
    <xdr:to>
      <xdr:col>1</xdr:col>
      <xdr:colOff>4695145</xdr:colOff>
      <xdr:row>1</xdr:row>
      <xdr:rowOff>1500187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1B15FAA6-FF2F-48C9-A9A4-A6A2CF366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099" y="0"/>
          <a:ext cx="5533716" cy="2871787"/>
        </a:xfrm>
        <a:prstGeom prst="rect">
          <a:avLst/>
        </a:prstGeom>
      </xdr:spPr>
    </xdr:pic>
    <xdr:clientData/>
  </xdr:twoCellAnchor>
  <xdr:oneCellAnchor>
    <xdr:from>
      <xdr:col>0</xdr:col>
      <xdr:colOff>257608</xdr:colOff>
      <xdr:row>55</xdr:row>
      <xdr:rowOff>272761</xdr:rowOff>
    </xdr:from>
    <xdr:ext cx="5571816" cy="2881312"/>
    <xdr:pic>
      <xdr:nvPicPr>
        <xdr:cNvPr id="3" name="Image 2">
          <a:extLst>
            <a:ext uri="{FF2B5EF4-FFF2-40B4-BE49-F238E27FC236}">
              <a16:creationId xmlns:a16="http://schemas.microsoft.com/office/drawing/2014/main" id="{7BA427F9-494A-4BFB-A9CF-8534B8536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608" y="37004625"/>
          <a:ext cx="5571816" cy="2881312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3412816</xdr:colOff>
      <xdr:row>1</xdr:row>
      <xdr:rowOff>1500187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B580FCE7-EA4B-4755-BD99-0F187D3C3E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524191" cy="2881312"/>
        </a:xfrm>
        <a:prstGeom prst="rect">
          <a:avLst/>
        </a:prstGeom>
      </xdr:spPr>
    </xdr:pic>
    <xdr:clientData/>
  </xdr:twoCellAnchor>
  <xdr:oneCellAnchor>
    <xdr:from>
      <xdr:col>0</xdr:col>
      <xdr:colOff>663349</xdr:colOff>
      <xdr:row>52</xdr:row>
      <xdr:rowOff>285750</xdr:rowOff>
    </xdr:from>
    <xdr:ext cx="5571816" cy="2881312"/>
    <xdr:pic>
      <xdr:nvPicPr>
        <xdr:cNvPr id="3" name="Image 2">
          <a:extLst>
            <a:ext uri="{FF2B5EF4-FFF2-40B4-BE49-F238E27FC236}">
              <a16:creationId xmlns:a16="http://schemas.microsoft.com/office/drawing/2014/main" id="{324C2D19-1C6B-44FD-989B-F9085A932D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3349" y="33559750"/>
          <a:ext cx="5571816" cy="288131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109"/>
  <sheetViews>
    <sheetView view="pageLayout" topLeftCell="B8" zoomScale="40" zoomScaleNormal="40" zoomScalePageLayoutView="40" workbookViewId="0">
      <selection activeCell="J27" sqref="J27:Q32"/>
    </sheetView>
  </sheetViews>
  <sheetFormatPr baseColWidth="10" defaultColWidth="0.109375" defaultRowHeight="14.4" x14ac:dyDescent="0.3"/>
  <cols>
    <col min="1" max="1" width="15.5546875" customWidth="1"/>
    <col min="2" max="2" width="153" customWidth="1"/>
    <col min="3" max="3" width="32.33203125" customWidth="1"/>
    <col min="4" max="4" width="27.6640625" customWidth="1"/>
    <col min="5" max="6" width="14.88671875" customWidth="1"/>
    <col min="7" max="7" width="12.109375" customWidth="1"/>
    <col min="8" max="8" width="76.6640625" customWidth="1"/>
    <col min="9" max="9" width="15.33203125" customWidth="1"/>
    <col min="10" max="10" width="29.88671875" customWidth="1"/>
    <col min="11" max="11" width="16.88671875" customWidth="1"/>
    <col min="12" max="16" width="30.6640625" customWidth="1"/>
    <col min="17" max="17" width="30.6640625" style="1" customWidth="1"/>
    <col min="18" max="18" width="94.6640625" style="56" hidden="1" customWidth="1"/>
    <col min="19" max="19" width="30.6640625" style="1" hidden="1" customWidth="1"/>
  </cols>
  <sheetData>
    <row r="1" spans="1:24" ht="108.75" customHeight="1" x14ac:dyDescent="0.3">
      <c r="P1" s="42"/>
      <c r="Q1" s="42"/>
      <c r="R1" s="53"/>
      <c r="S1" s="42"/>
      <c r="T1" s="42"/>
      <c r="U1" s="34"/>
      <c r="V1" s="34"/>
      <c r="W1" s="34"/>
      <c r="X1" s="34"/>
    </row>
    <row r="2" spans="1:24" ht="138" customHeight="1" x14ac:dyDescent="0.3">
      <c r="P2" s="41"/>
      <c r="Q2" s="41"/>
      <c r="R2" s="84"/>
      <c r="S2" s="41"/>
      <c r="T2" s="41"/>
      <c r="U2" s="35"/>
      <c r="V2" s="35"/>
      <c r="W2" s="35"/>
      <c r="X2" s="35"/>
    </row>
    <row r="3" spans="1:24" ht="110.25" customHeight="1" x14ac:dyDescent="0.3">
      <c r="A3" s="100" t="s">
        <v>0</v>
      </c>
      <c r="B3" s="100"/>
      <c r="C3" s="100"/>
      <c r="D3" s="100"/>
      <c r="E3" s="100"/>
      <c r="F3" s="100"/>
      <c r="G3" s="100"/>
      <c r="H3" s="100"/>
      <c r="I3" s="100"/>
      <c r="J3" s="3"/>
      <c r="K3" s="42"/>
      <c r="L3" s="42"/>
      <c r="M3" s="42"/>
      <c r="N3" s="42"/>
      <c r="O3" s="42"/>
      <c r="P3" s="40"/>
      <c r="Q3" s="40"/>
      <c r="R3" s="55"/>
      <c r="S3" s="40"/>
      <c r="T3" s="40"/>
      <c r="U3" s="35"/>
      <c r="W3" s="39"/>
      <c r="X3" s="39"/>
    </row>
    <row r="4" spans="1:24" ht="49.5" customHeight="1" x14ac:dyDescent="0.3">
      <c r="A4" s="101" t="s">
        <v>1</v>
      </c>
      <c r="B4" s="101"/>
      <c r="C4" s="101"/>
      <c r="D4" s="101"/>
      <c r="E4" s="101"/>
      <c r="F4" s="101"/>
      <c r="G4" s="101"/>
      <c r="H4" s="101"/>
      <c r="I4" s="101"/>
      <c r="J4" s="41"/>
      <c r="K4" s="46"/>
      <c r="L4" s="46"/>
      <c r="M4" s="46"/>
      <c r="N4" s="46"/>
      <c r="O4" s="46"/>
      <c r="P4" s="3"/>
      <c r="Q4" s="3"/>
      <c r="R4" s="53"/>
      <c r="S4" s="3"/>
      <c r="T4" s="3"/>
      <c r="U4" s="3"/>
      <c r="V4" s="3"/>
      <c r="W4" s="3"/>
      <c r="X4" s="1"/>
    </row>
    <row r="5" spans="1:24" ht="80.25" customHeight="1" x14ac:dyDescent="0.3">
      <c r="A5" s="99"/>
      <c r="B5" s="99"/>
      <c r="C5" s="99"/>
      <c r="D5" s="99"/>
      <c r="E5" s="99"/>
      <c r="F5" s="99"/>
      <c r="G5" s="99"/>
      <c r="H5" s="99"/>
      <c r="I5" s="99"/>
      <c r="J5" s="75"/>
      <c r="K5" s="8"/>
      <c r="L5" s="9" t="s">
        <v>2</v>
      </c>
      <c r="M5" s="9" t="s">
        <v>3</v>
      </c>
      <c r="N5" s="9" t="s">
        <v>4</v>
      </c>
      <c r="O5" s="9" t="s">
        <v>5</v>
      </c>
      <c r="P5" s="9" t="s">
        <v>6</v>
      </c>
      <c r="Q5" s="9" t="s">
        <v>7</v>
      </c>
      <c r="R5" s="57"/>
      <c r="S5" s="48"/>
    </row>
    <row r="6" spans="1:24" s="2" customFormat="1" ht="69.75" customHeight="1" x14ac:dyDescent="0.4">
      <c r="A6" s="112" t="s">
        <v>8</v>
      </c>
      <c r="B6" s="112"/>
      <c r="C6" s="112"/>
      <c r="D6" s="112"/>
      <c r="E6" s="112"/>
      <c r="F6" s="112"/>
      <c r="G6" s="112"/>
      <c r="H6" s="112"/>
      <c r="I6" s="112"/>
      <c r="J6" s="78"/>
      <c r="K6" s="10" t="s">
        <v>9</v>
      </c>
      <c r="L6" s="71" t="s">
        <v>10</v>
      </c>
      <c r="M6" s="71" t="s">
        <v>11</v>
      </c>
      <c r="N6" s="71" t="s">
        <v>12</v>
      </c>
      <c r="O6" s="71" t="s">
        <v>13</v>
      </c>
      <c r="P6" s="72" t="s">
        <v>14</v>
      </c>
      <c r="Q6" s="72" t="s">
        <v>15</v>
      </c>
      <c r="R6" s="58"/>
      <c r="S6" s="49"/>
    </row>
    <row r="7" spans="1:24" s="2" customFormat="1" ht="186.75" customHeight="1" x14ac:dyDescent="0.4">
      <c r="A7" s="108" t="s">
        <v>16</v>
      </c>
      <c r="B7" s="108"/>
      <c r="C7" s="108"/>
      <c r="D7" s="108"/>
      <c r="E7" s="108"/>
      <c r="F7" s="108"/>
      <c r="G7" s="108"/>
      <c r="H7" s="108"/>
      <c r="I7" s="108"/>
      <c r="J7" s="74"/>
      <c r="K7" s="10" t="s">
        <v>17</v>
      </c>
      <c r="L7" s="69" t="s">
        <v>18</v>
      </c>
      <c r="M7" s="70" t="s">
        <v>19</v>
      </c>
      <c r="N7" s="70" t="s">
        <v>20</v>
      </c>
      <c r="O7" s="70" t="s">
        <v>21</v>
      </c>
      <c r="P7" s="70" t="s">
        <v>22</v>
      </c>
      <c r="Q7" s="70" t="s">
        <v>23</v>
      </c>
      <c r="R7" s="59"/>
      <c r="S7" s="50"/>
    </row>
    <row r="8" spans="1:24" s="2" customFormat="1" ht="90" customHeight="1" x14ac:dyDescent="0.4">
      <c r="A8" s="105"/>
      <c r="B8" s="105"/>
      <c r="C8" s="105"/>
      <c r="D8" s="105"/>
      <c r="E8" s="105"/>
      <c r="F8" s="105"/>
      <c r="G8" s="105"/>
      <c r="H8" s="105"/>
      <c r="I8" s="105"/>
      <c r="J8" s="73"/>
      <c r="K8" s="10" t="s">
        <v>24</v>
      </c>
      <c r="L8" s="69" t="s">
        <v>25</v>
      </c>
      <c r="M8" s="70" t="s">
        <v>25</v>
      </c>
      <c r="N8" s="69" t="s">
        <v>25</v>
      </c>
      <c r="O8" s="70" t="s">
        <v>25</v>
      </c>
      <c r="P8" s="69" t="s">
        <v>25</v>
      </c>
      <c r="Q8" s="70" t="s">
        <v>25</v>
      </c>
      <c r="R8" s="59"/>
      <c r="S8" s="50"/>
    </row>
    <row r="9" spans="1:24" s="20" customFormat="1" ht="81" customHeight="1" x14ac:dyDescent="0.4">
      <c r="A9" s="106" t="s">
        <v>26</v>
      </c>
      <c r="B9" s="106" t="s">
        <v>27</v>
      </c>
      <c r="C9" s="103" t="s">
        <v>28</v>
      </c>
      <c r="D9" s="103" t="s">
        <v>29</v>
      </c>
      <c r="E9" s="109" t="s">
        <v>30</v>
      </c>
      <c r="F9" s="110"/>
      <c r="G9" s="110"/>
      <c r="H9" s="110"/>
      <c r="I9" s="110"/>
      <c r="J9" s="111"/>
      <c r="K9" s="113"/>
      <c r="L9" s="103" t="s">
        <v>31</v>
      </c>
      <c r="M9" s="103" t="s">
        <v>32</v>
      </c>
      <c r="N9" s="103" t="s">
        <v>33</v>
      </c>
      <c r="O9" s="103" t="s">
        <v>34</v>
      </c>
      <c r="P9" s="103" t="s">
        <v>35</v>
      </c>
      <c r="Q9" s="103" t="s">
        <v>36</v>
      </c>
      <c r="R9" s="60"/>
      <c r="S9" s="51"/>
    </row>
    <row r="10" spans="1:24" s="20" customFormat="1" ht="96" customHeight="1" x14ac:dyDescent="0.4">
      <c r="A10" s="107"/>
      <c r="B10" s="107"/>
      <c r="C10" s="104"/>
      <c r="D10" s="104"/>
      <c r="E10" s="21" t="s">
        <v>37</v>
      </c>
      <c r="F10" s="21" t="s">
        <v>38</v>
      </c>
      <c r="G10" s="21" t="s">
        <v>39</v>
      </c>
      <c r="H10" s="21" t="s">
        <v>40</v>
      </c>
      <c r="I10" s="21" t="s">
        <v>41</v>
      </c>
      <c r="J10" s="21" t="s">
        <v>42</v>
      </c>
      <c r="K10" s="114"/>
      <c r="L10" s="104"/>
      <c r="M10" s="104"/>
      <c r="N10" s="104"/>
      <c r="O10" s="104"/>
      <c r="P10" s="104"/>
      <c r="Q10" s="104"/>
      <c r="R10" s="61"/>
      <c r="S10" s="52"/>
    </row>
    <row r="11" spans="1:24" s="2" customFormat="1" ht="39.9" customHeight="1" x14ac:dyDescent="0.4">
      <c r="A11" s="11" t="s">
        <v>43</v>
      </c>
      <c r="B11" s="22" t="s">
        <v>44</v>
      </c>
      <c r="C11" s="12" t="s">
        <v>45</v>
      </c>
      <c r="D11" s="12" t="s">
        <v>46</v>
      </c>
      <c r="E11" s="11"/>
      <c r="F11" s="11"/>
      <c r="G11" s="11"/>
      <c r="H11" s="11"/>
      <c r="I11" s="13">
        <f>SUM(E11:H11)</f>
        <v>0</v>
      </c>
      <c r="J11" s="13"/>
      <c r="K11" s="11"/>
      <c r="L11" s="25"/>
      <c r="M11" s="25"/>
      <c r="N11" s="25"/>
      <c r="O11" s="25"/>
      <c r="P11" s="25"/>
      <c r="Q11" s="25"/>
      <c r="R11" s="85" t="s">
        <v>44</v>
      </c>
      <c r="S11" s="81" t="s">
        <v>47</v>
      </c>
    </row>
    <row r="12" spans="1:24" s="2" customFormat="1" ht="39.9" customHeight="1" x14ac:dyDescent="0.4">
      <c r="A12" s="11" t="s">
        <v>43</v>
      </c>
      <c r="B12" s="22" t="s">
        <v>48</v>
      </c>
      <c r="C12" s="12" t="s">
        <v>49</v>
      </c>
      <c r="D12" s="12" t="s">
        <v>46</v>
      </c>
      <c r="E12" s="11"/>
      <c r="F12" s="11"/>
      <c r="G12" s="11"/>
      <c r="H12" s="11"/>
      <c r="I12" s="13">
        <f t="shared" ref="I12:I42" si="0">SUM(E12:H12)</f>
        <v>0</v>
      </c>
      <c r="J12" s="13"/>
      <c r="K12" s="11"/>
      <c r="L12" s="25"/>
      <c r="M12" s="25"/>
      <c r="N12" s="25"/>
      <c r="O12" s="25"/>
      <c r="P12" s="25"/>
      <c r="Q12" s="25"/>
      <c r="R12" s="85" t="s">
        <v>48</v>
      </c>
      <c r="S12" s="81" t="s">
        <v>50</v>
      </c>
    </row>
    <row r="13" spans="1:24" s="2" customFormat="1" ht="39.9" customHeight="1" x14ac:dyDescent="0.4">
      <c r="A13" s="11" t="s">
        <v>43</v>
      </c>
      <c r="B13" s="22" t="s">
        <v>51</v>
      </c>
      <c r="C13" s="12" t="s">
        <v>52</v>
      </c>
      <c r="D13" s="12" t="s">
        <v>46</v>
      </c>
      <c r="E13" s="11"/>
      <c r="F13" s="11"/>
      <c r="G13" s="11"/>
      <c r="H13" s="11"/>
      <c r="I13" s="13">
        <f t="shared" si="0"/>
        <v>0</v>
      </c>
      <c r="J13" s="13"/>
      <c r="K13" s="11"/>
      <c r="L13" s="25"/>
      <c r="M13" s="25"/>
      <c r="N13" s="25"/>
      <c r="O13" s="25"/>
      <c r="P13" s="25"/>
      <c r="Q13" s="25"/>
      <c r="R13" s="85" t="s">
        <v>51</v>
      </c>
      <c r="S13" s="81" t="s">
        <v>53</v>
      </c>
    </row>
    <row r="14" spans="1:24" s="2" customFormat="1" ht="39.9" customHeight="1" x14ac:dyDescent="0.4">
      <c r="A14" s="11" t="s">
        <v>43</v>
      </c>
      <c r="B14" s="22" t="s">
        <v>54</v>
      </c>
      <c r="C14" s="12" t="s">
        <v>55</v>
      </c>
      <c r="D14" s="12" t="s">
        <v>46</v>
      </c>
      <c r="E14" s="11"/>
      <c r="F14" s="11"/>
      <c r="G14" s="11"/>
      <c r="H14" s="11"/>
      <c r="I14" s="13">
        <f t="shared" si="0"/>
        <v>0</v>
      </c>
      <c r="J14" s="13"/>
      <c r="K14" s="11"/>
      <c r="L14" s="25"/>
      <c r="M14" s="25"/>
      <c r="N14" s="25"/>
      <c r="O14" s="25"/>
      <c r="P14" s="25"/>
      <c r="Q14" s="25"/>
      <c r="R14" s="85" t="s">
        <v>54</v>
      </c>
      <c r="S14" s="81" t="s">
        <v>56</v>
      </c>
    </row>
    <row r="15" spans="1:24" s="2" customFormat="1" ht="39.9" customHeight="1" x14ac:dyDescent="0.4">
      <c r="A15" s="11" t="s">
        <v>43</v>
      </c>
      <c r="B15" s="22" t="s">
        <v>57</v>
      </c>
      <c r="C15" s="12" t="s">
        <v>58</v>
      </c>
      <c r="D15" s="12" t="s">
        <v>46</v>
      </c>
      <c r="E15" s="11"/>
      <c r="F15" s="11"/>
      <c r="G15" s="11"/>
      <c r="H15" s="11"/>
      <c r="I15" s="13">
        <f t="shared" si="0"/>
        <v>0</v>
      </c>
      <c r="J15" s="13"/>
      <c r="K15" s="11"/>
      <c r="L15" s="25"/>
      <c r="M15" s="25"/>
      <c r="N15" s="25"/>
      <c r="O15" s="25"/>
      <c r="P15" s="25"/>
      <c r="Q15" s="25"/>
      <c r="R15" s="85" t="s">
        <v>57</v>
      </c>
      <c r="S15" s="81" t="s">
        <v>59</v>
      </c>
    </row>
    <row r="16" spans="1:24" s="2" customFormat="1" ht="39.9" customHeight="1" x14ac:dyDescent="0.4">
      <c r="A16" s="11" t="s">
        <v>43</v>
      </c>
      <c r="B16" s="22" t="s">
        <v>60</v>
      </c>
      <c r="C16" s="12" t="s">
        <v>61</v>
      </c>
      <c r="D16" s="12" t="s">
        <v>46</v>
      </c>
      <c r="E16" s="11"/>
      <c r="F16" s="11"/>
      <c r="G16" s="11"/>
      <c r="H16" s="11"/>
      <c r="I16" s="13">
        <f t="shared" si="0"/>
        <v>0</v>
      </c>
      <c r="J16" s="13"/>
      <c r="K16" s="11"/>
      <c r="L16" s="25"/>
      <c r="M16" s="25"/>
      <c r="N16" s="25"/>
      <c r="O16" s="25"/>
      <c r="P16" s="25"/>
      <c r="Q16" s="25"/>
      <c r="R16" s="85" t="s">
        <v>60</v>
      </c>
      <c r="S16" s="81" t="s">
        <v>62</v>
      </c>
    </row>
    <row r="17" spans="1:19" s="2" customFormat="1" ht="39.9" customHeight="1" x14ac:dyDescent="0.4">
      <c r="A17" s="14" t="s">
        <v>43</v>
      </c>
      <c r="B17" s="23" t="s">
        <v>63</v>
      </c>
      <c r="C17" s="15" t="s">
        <v>64</v>
      </c>
      <c r="D17" s="15" t="s">
        <v>46</v>
      </c>
      <c r="E17" s="14"/>
      <c r="F17" s="14"/>
      <c r="G17" s="14"/>
      <c r="H17" s="14"/>
      <c r="I17" s="16">
        <f t="shared" si="0"/>
        <v>0</v>
      </c>
      <c r="J17" s="16"/>
      <c r="K17" s="14"/>
      <c r="L17" s="26"/>
      <c r="M17" s="26"/>
      <c r="N17" s="26"/>
      <c r="O17" s="26"/>
      <c r="P17" s="26"/>
      <c r="Q17" s="26"/>
      <c r="R17" s="86" t="s">
        <v>63</v>
      </c>
      <c r="S17" s="82" t="s">
        <v>65</v>
      </c>
    </row>
    <row r="18" spans="1:19" s="2" customFormat="1" ht="39.9" customHeight="1" x14ac:dyDescent="0.4">
      <c r="A18" s="17" t="s">
        <v>43</v>
      </c>
      <c r="B18" s="24" t="s">
        <v>66</v>
      </c>
      <c r="C18" s="18" t="s">
        <v>67</v>
      </c>
      <c r="D18" s="18" t="s">
        <v>46</v>
      </c>
      <c r="E18" s="17"/>
      <c r="F18" s="17"/>
      <c r="G18" s="17"/>
      <c r="H18" s="17"/>
      <c r="I18" s="19">
        <f t="shared" si="0"/>
        <v>0</v>
      </c>
      <c r="J18" s="19"/>
      <c r="K18" s="17"/>
      <c r="L18" s="27"/>
      <c r="M18" s="27"/>
      <c r="N18" s="27"/>
      <c r="O18" s="27"/>
      <c r="P18" s="27"/>
      <c r="Q18" s="27"/>
      <c r="R18" s="87" t="s">
        <v>66</v>
      </c>
      <c r="S18" s="83" t="s">
        <v>68</v>
      </c>
    </row>
    <row r="19" spans="1:19" s="2" customFormat="1" ht="39.9" customHeight="1" x14ac:dyDescent="0.4">
      <c r="A19" s="17" t="s">
        <v>43</v>
      </c>
      <c r="B19" s="24" t="s">
        <v>69</v>
      </c>
      <c r="C19" s="18" t="s">
        <v>70</v>
      </c>
      <c r="D19" s="18" t="s">
        <v>46</v>
      </c>
      <c r="E19" s="17"/>
      <c r="F19" s="17"/>
      <c r="G19" s="17"/>
      <c r="H19" s="17"/>
      <c r="I19" s="19">
        <f t="shared" si="0"/>
        <v>0</v>
      </c>
      <c r="J19" s="19"/>
      <c r="K19" s="17"/>
      <c r="L19" s="27"/>
      <c r="M19" s="27"/>
      <c r="N19" s="27"/>
      <c r="O19" s="27"/>
      <c r="P19" s="27"/>
      <c r="Q19" s="27"/>
      <c r="R19" s="87" t="s">
        <v>69</v>
      </c>
      <c r="S19" s="83" t="s">
        <v>71</v>
      </c>
    </row>
    <row r="20" spans="1:19" s="2" customFormat="1" ht="39.9" customHeight="1" x14ac:dyDescent="0.4">
      <c r="A20" s="17" t="s">
        <v>43</v>
      </c>
      <c r="B20" s="24" t="s">
        <v>72</v>
      </c>
      <c r="C20" s="18" t="s">
        <v>73</v>
      </c>
      <c r="D20" s="18" t="s">
        <v>46</v>
      </c>
      <c r="E20" s="17"/>
      <c r="F20" s="17"/>
      <c r="G20" s="17"/>
      <c r="H20" s="17"/>
      <c r="I20" s="19">
        <f t="shared" si="0"/>
        <v>0</v>
      </c>
      <c r="J20" s="19"/>
      <c r="K20" s="17"/>
      <c r="L20" s="27"/>
      <c r="M20" s="27"/>
      <c r="N20" s="27"/>
      <c r="O20" s="27"/>
      <c r="P20" s="27"/>
      <c r="Q20" s="27"/>
      <c r="R20" s="87" t="s">
        <v>72</v>
      </c>
      <c r="S20" s="83" t="s">
        <v>74</v>
      </c>
    </row>
    <row r="21" spans="1:19" s="2" customFormat="1" ht="39.9" customHeight="1" x14ac:dyDescent="0.4">
      <c r="A21" s="17" t="s">
        <v>43</v>
      </c>
      <c r="B21" s="24" t="s">
        <v>75</v>
      </c>
      <c r="C21" s="18" t="s">
        <v>76</v>
      </c>
      <c r="D21" s="18" t="s">
        <v>46</v>
      </c>
      <c r="E21" s="17"/>
      <c r="F21" s="17"/>
      <c r="G21" s="17"/>
      <c r="H21" s="17"/>
      <c r="I21" s="19">
        <f t="shared" si="0"/>
        <v>0</v>
      </c>
      <c r="J21" s="19"/>
      <c r="K21" s="17"/>
      <c r="L21" s="27"/>
      <c r="M21" s="27"/>
      <c r="N21" s="27"/>
      <c r="O21" s="27"/>
      <c r="P21" s="27"/>
      <c r="Q21" s="27"/>
      <c r="R21" s="87" t="s">
        <v>75</v>
      </c>
      <c r="S21" s="83" t="s">
        <v>77</v>
      </c>
    </row>
    <row r="22" spans="1:19" s="2" customFormat="1" ht="39.9" customHeight="1" x14ac:dyDescent="0.4">
      <c r="A22" s="17" t="s">
        <v>43</v>
      </c>
      <c r="B22" s="24" t="s">
        <v>78</v>
      </c>
      <c r="C22" s="18" t="s">
        <v>79</v>
      </c>
      <c r="D22" s="18" t="s">
        <v>46</v>
      </c>
      <c r="E22" s="17"/>
      <c r="F22" s="17"/>
      <c r="G22" s="17"/>
      <c r="H22" s="17"/>
      <c r="I22" s="19">
        <f t="shared" si="0"/>
        <v>0</v>
      </c>
      <c r="J22" s="19"/>
      <c r="K22" s="17"/>
      <c r="L22" s="27"/>
      <c r="M22" s="27"/>
      <c r="N22" s="27"/>
      <c r="O22" s="27"/>
      <c r="P22" s="27"/>
      <c r="Q22" s="27"/>
      <c r="R22" s="87" t="s">
        <v>78</v>
      </c>
      <c r="S22" s="83" t="s">
        <v>80</v>
      </c>
    </row>
    <row r="23" spans="1:19" s="2" customFormat="1" ht="39.9" customHeight="1" x14ac:dyDescent="0.4">
      <c r="A23" s="17" t="s">
        <v>43</v>
      </c>
      <c r="B23" s="24" t="s">
        <v>81</v>
      </c>
      <c r="C23" s="18" t="s">
        <v>82</v>
      </c>
      <c r="D23" s="18" t="s">
        <v>46</v>
      </c>
      <c r="E23" s="17"/>
      <c r="F23" s="17"/>
      <c r="G23" s="17"/>
      <c r="H23" s="17"/>
      <c r="I23" s="19">
        <f t="shared" si="0"/>
        <v>0</v>
      </c>
      <c r="J23" s="19"/>
      <c r="K23" s="17"/>
      <c r="L23" s="27"/>
      <c r="M23" s="27"/>
      <c r="N23" s="27"/>
      <c r="O23" s="27"/>
      <c r="P23" s="27"/>
      <c r="Q23" s="27"/>
      <c r="R23" s="87" t="s">
        <v>81</v>
      </c>
      <c r="S23" s="83" t="s">
        <v>83</v>
      </c>
    </row>
    <row r="24" spans="1:19" s="2" customFormat="1" ht="39.9" customHeight="1" x14ac:dyDescent="0.4">
      <c r="A24" s="17" t="s">
        <v>43</v>
      </c>
      <c r="B24" s="24" t="s">
        <v>84</v>
      </c>
      <c r="C24" s="18" t="s">
        <v>85</v>
      </c>
      <c r="D24" s="18" t="s">
        <v>46</v>
      </c>
      <c r="E24" s="17"/>
      <c r="F24" s="17"/>
      <c r="G24" s="17"/>
      <c r="H24" s="17"/>
      <c r="I24" s="19">
        <f t="shared" si="0"/>
        <v>0</v>
      </c>
      <c r="J24" s="19"/>
      <c r="K24" s="17"/>
      <c r="L24" s="27"/>
      <c r="M24" s="27"/>
      <c r="N24" s="27"/>
      <c r="O24" s="27"/>
      <c r="P24" s="27"/>
      <c r="Q24" s="27"/>
      <c r="R24" s="87" t="s">
        <v>84</v>
      </c>
      <c r="S24" s="83" t="s">
        <v>86</v>
      </c>
    </row>
    <row r="25" spans="1:19" s="2" customFormat="1" ht="39.9" customHeight="1" x14ac:dyDescent="0.4">
      <c r="A25" s="17" t="s">
        <v>43</v>
      </c>
      <c r="B25" s="24" t="s">
        <v>87</v>
      </c>
      <c r="C25" s="18" t="s">
        <v>88</v>
      </c>
      <c r="D25" s="18" t="s">
        <v>46</v>
      </c>
      <c r="E25" s="17"/>
      <c r="F25" s="17"/>
      <c r="G25" s="17"/>
      <c r="H25" s="17"/>
      <c r="I25" s="19">
        <f t="shared" si="0"/>
        <v>0</v>
      </c>
      <c r="J25" s="19"/>
      <c r="K25" s="17"/>
      <c r="L25" s="27"/>
      <c r="M25" s="27"/>
      <c r="N25" s="27"/>
      <c r="O25" s="27"/>
      <c r="P25" s="27"/>
      <c r="Q25" s="27"/>
      <c r="R25" s="87" t="s">
        <v>87</v>
      </c>
      <c r="S25" s="83" t="s">
        <v>89</v>
      </c>
    </row>
    <row r="26" spans="1:19" s="2" customFormat="1" ht="39.9" customHeight="1" x14ac:dyDescent="0.4">
      <c r="A26" s="17" t="s">
        <v>43</v>
      </c>
      <c r="B26" s="24" t="s">
        <v>90</v>
      </c>
      <c r="C26" s="18" t="s">
        <v>91</v>
      </c>
      <c r="D26" s="18" t="s">
        <v>46</v>
      </c>
      <c r="E26" s="17"/>
      <c r="F26" s="17"/>
      <c r="G26" s="17"/>
      <c r="H26" s="17"/>
      <c r="I26" s="19">
        <f t="shared" si="0"/>
        <v>0</v>
      </c>
      <c r="J26" s="19"/>
      <c r="K26" s="17"/>
      <c r="L26" s="27"/>
      <c r="M26" s="27"/>
      <c r="N26" s="27"/>
      <c r="O26" s="27"/>
      <c r="P26" s="27"/>
      <c r="Q26" s="27"/>
      <c r="R26" s="87" t="s">
        <v>90</v>
      </c>
      <c r="S26" s="83" t="s">
        <v>92</v>
      </c>
    </row>
    <row r="27" spans="1:19" s="2" customFormat="1" ht="39.9" customHeight="1" x14ac:dyDescent="0.4">
      <c r="A27" s="17" t="s">
        <v>43</v>
      </c>
      <c r="B27" s="24" t="s">
        <v>93</v>
      </c>
      <c r="C27" s="18" t="s">
        <v>94</v>
      </c>
      <c r="D27" s="18" t="s">
        <v>46</v>
      </c>
      <c r="E27" s="17"/>
      <c r="F27" s="17"/>
      <c r="G27" s="17"/>
      <c r="H27" s="17"/>
      <c r="I27" s="19">
        <f t="shared" si="0"/>
        <v>0</v>
      </c>
      <c r="J27" s="19"/>
      <c r="K27" s="17"/>
      <c r="L27" s="27"/>
      <c r="M27" s="27"/>
      <c r="N27" s="27"/>
      <c r="O27" s="27"/>
      <c r="P27" s="27"/>
      <c r="Q27" s="27"/>
      <c r="R27" s="87" t="s">
        <v>93</v>
      </c>
      <c r="S27" s="83" t="s">
        <v>95</v>
      </c>
    </row>
    <row r="28" spans="1:19" s="2" customFormat="1" ht="39.9" customHeight="1" x14ac:dyDescent="0.4">
      <c r="A28" s="17" t="s">
        <v>43</v>
      </c>
      <c r="B28" s="24" t="s">
        <v>96</v>
      </c>
      <c r="C28" s="18" t="s">
        <v>97</v>
      </c>
      <c r="D28" s="18" t="s">
        <v>46</v>
      </c>
      <c r="E28" s="17"/>
      <c r="F28" s="17"/>
      <c r="G28" s="17"/>
      <c r="H28" s="17"/>
      <c r="I28" s="19">
        <f t="shared" si="0"/>
        <v>0</v>
      </c>
      <c r="J28" s="19"/>
      <c r="K28" s="17"/>
      <c r="L28" s="27"/>
      <c r="M28" s="27"/>
      <c r="N28" s="27"/>
      <c r="O28" s="27"/>
      <c r="P28" s="27"/>
      <c r="Q28" s="27"/>
      <c r="R28" s="87" t="s">
        <v>96</v>
      </c>
      <c r="S28" s="83" t="s">
        <v>98</v>
      </c>
    </row>
    <row r="29" spans="1:19" s="2" customFormat="1" ht="39.9" customHeight="1" x14ac:dyDescent="0.4">
      <c r="A29" s="17" t="s">
        <v>43</v>
      </c>
      <c r="B29" s="24" t="s">
        <v>99</v>
      </c>
      <c r="C29" s="18" t="s">
        <v>100</v>
      </c>
      <c r="D29" s="18" t="s">
        <v>46</v>
      </c>
      <c r="E29" s="17"/>
      <c r="F29" s="17"/>
      <c r="G29" s="17"/>
      <c r="H29" s="17"/>
      <c r="I29" s="19">
        <f t="shared" si="0"/>
        <v>0</v>
      </c>
      <c r="J29" s="19"/>
      <c r="K29" s="17"/>
      <c r="L29" s="27"/>
      <c r="M29" s="27"/>
      <c r="N29" s="27"/>
      <c r="O29" s="27"/>
      <c r="P29" s="27"/>
      <c r="Q29" s="27"/>
      <c r="R29" s="87" t="s">
        <v>99</v>
      </c>
      <c r="S29" s="83" t="s">
        <v>101</v>
      </c>
    </row>
    <row r="30" spans="1:19" s="2" customFormat="1" ht="39.9" customHeight="1" x14ac:dyDescent="0.4">
      <c r="A30" s="17" t="s">
        <v>43</v>
      </c>
      <c r="B30" s="24"/>
      <c r="C30" s="18"/>
      <c r="D30" s="18"/>
      <c r="E30" s="17"/>
      <c r="F30" s="17"/>
      <c r="G30" s="17"/>
      <c r="H30" s="17"/>
      <c r="I30" s="19">
        <f t="shared" si="0"/>
        <v>0</v>
      </c>
      <c r="J30" s="19"/>
      <c r="K30" s="17"/>
      <c r="L30" s="27"/>
      <c r="M30" s="27"/>
      <c r="N30" s="27"/>
      <c r="O30" s="27"/>
      <c r="P30" s="27"/>
      <c r="Q30" s="27"/>
      <c r="R30" s="87" t="s">
        <v>102</v>
      </c>
      <c r="S30" s="83" t="s">
        <v>103</v>
      </c>
    </row>
    <row r="31" spans="1:19" s="2" customFormat="1" ht="39.9" customHeight="1" x14ac:dyDescent="0.4">
      <c r="A31" s="17" t="s">
        <v>43</v>
      </c>
      <c r="B31" s="24"/>
      <c r="C31" s="18"/>
      <c r="D31" s="18"/>
      <c r="E31" s="17"/>
      <c r="F31" s="17"/>
      <c r="G31" s="17"/>
      <c r="H31" s="17"/>
      <c r="I31" s="19">
        <f t="shared" si="0"/>
        <v>0</v>
      </c>
      <c r="J31" s="19"/>
      <c r="K31" s="17"/>
      <c r="L31" s="27"/>
      <c r="M31" s="27"/>
      <c r="N31" s="27"/>
      <c r="O31" s="27"/>
      <c r="P31" s="27"/>
      <c r="Q31" s="27"/>
      <c r="R31" s="87" t="s">
        <v>104</v>
      </c>
      <c r="S31" s="83" t="s">
        <v>105</v>
      </c>
    </row>
    <row r="32" spans="1:19" s="2" customFormat="1" ht="39.9" customHeight="1" x14ac:dyDescent="0.4">
      <c r="A32" s="17" t="s">
        <v>43</v>
      </c>
      <c r="B32" s="24"/>
      <c r="C32" s="18"/>
      <c r="D32" s="18"/>
      <c r="E32" s="17"/>
      <c r="F32" s="17"/>
      <c r="G32" s="17"/>
      <c r="H32" s="17"/>
      <c r="I32" s="19">
        <f t="shared" si="0"/>
        <v>0</v>
      </c>
      <c r="J32" s="19"/>
      <c r="K32" s="17"/>
      <c r="L32" s="27"/>
      <c r="M32" s="27"/>
      <c r="N32" s="27"/>
      <c r="O32" s="27"/>
      <c r="P32" s="27"/>
      <c r="Q32" s="27"/>
      <c r="R32" s="67"/>
      <c r="S32" s="27"/>
    </row>
    <row r="33" spans="1:19" s="2" customFormat="1" ht="39.9" customHeight="1" x14ac:dyDescent="0.4">
      <c r="A33" s="17" t="s">
        <v>43</v>
      </c>
      <c r="B33" s="24"/>
      <c r="C33" s="18"/>
      <c r="D33" s="18"/>
      <c r="E33" s="17"/>
      <c r="F33" s="17"/>
      <c r="G33" s="17"/>
      <c r="H33" s="17"/>
      <c r="I33" s="19">
        <f t="shared" si="0"/>
        <v>0</v>
      </c>
      <c r="J33" s="19"/>
      <c r="K33" s="17"/>
      <c r="L33" s="27"/>
      <c r="M33" s="27"/>
      <c r="N33" s="27"/>
      <c r="O33" s="27"/>
      <c r="P33" s="27"/>
      <c r="Q33" s="27"/>
      <c r="R33" s="67"/>
      <c r="S33" s="27"/>
    </row>
    <row r="34" spans="1:19" s="2" customFormat="1" ht="39.9" customHeight="1" x14ac:dyDescent="0.4">
      <c r="A34" s="17" t="s">
        <v>43</v>
      </c>
      <c r="B34" s="24"/>
      <c r="C34" s="18"/>
      <c r="D34" s="18"/>
      <c r="E34" s="17"/>
      <c r="F34" s="17"/>
      <c r="G34" s="17"/>
      <c r="H34" s="17"/>
      <c r="I34" s="19">
        <f t="shared" si="0"/>
        <v>0</v>
      </c>
      <c r="J34" s="19"/>
      <c r="K34" s="17"/>
      <c r="L34" s="27"/>
      <c r="M34" s="27"/>
      <c r="N34" s="27"/>
      <c r="O34" s="27"/>
      <c r="P34" s="27"/>
      <c r="Q34" s="27"/>
      <c r="R34" s="67"/>
      <c r="S34" s="27"/>
    </row>
    <row r="35" spans="1:19" s="2" customFormat="1" ht="39.9" customHeight="1" x14ac:dyDescent="0.4">
      <c r="A35" s="17" t="s">
        <v>43</v>
      </c>
      <c r="B35" s="24"/>
      <c r="C35" s="18"/>
      <c r="D35" s="18"/>
      <c r="E35" s="17"/>
      <c r="F35" s="17"/>
      <c r="G35" s="17"/>
      <c r="H35" s="17"/>
      <c r="I35" s="19">
        <f t="shared" si="0"/>
        <v>0</v>
      </c>
      <c r="J35" s="19"/>
      <c r="K35" s="17"/>
      <c r="L35" s="27"/>
      <c r="M35" s="27"/>
      <c r="N35" s="27"/>
      <c r="O35" s="27"/>
      <c r="P35" s="27"/>
      <c r="Q35" s="27"/>
      <c r="R35" s="67"/>
      <c r="S35" s="27"/>
    </row>
    <row r="36" spans="1:19" s="2" customFormat="1" ht="39.9" customHeight="1" x14ac:dyDescent="0.4">
      <c r="A36" s="17" t="s">
        <v>43</v>
      </c>
      <c r="B36" s="24"/>
      <c r="C36" s="18"/>
      <c r="D36" s="18"/>
      <c r="E36" s="17"/>
      <c r="F36" s="17"/>
      <c r="G36" s="17"/>
      <c r="H36" s="17"/>
      <c r="I36" s="19">
        <f t="shared" si="0"/>
        <v>0</v>
      </c>
      <c r="J36" s="19"/>
      <c r="K36" s="17"/>
      <c r="L36" s="27"/>
      <c r="M36" s="27"/>
      <c r="N36" s="27"/>
      <c r="O36" s="27"/>
      <c r="P36" s="27"/>
      <c r="Q36" s="27"/>
      <c r="R36" s="67"/>
      <c r="S36" s="27"/>
    </row>
    <row r="37" spans="1:19" s="2" customFormat="1" ht="39.9" customHeight="1" x14ac:dyDescent="0.4">
      <c r="A37" s="17" t="s">
        <v>43</v>
      </c>
      <c r="B37" s="24"/>
      <c r="C37" s="18"/>
      <c r="D37" s="18"/>
      <c r="E37" s="17"/>
      <c r="F37" s="17"/>
      <c r="G37" s="17"/>
      <c r="H37" s="17"/>
      <c r="I37" s="19">
        <f t="shared" si="0"/>
        <v>0</v>
      </c>
      <c r="J37" s="19"/>
      <c r="K37" s="17"/>
      <c r="L37" s="27"/>
      <c r="M37" s="27"/>
      <c r="N37" s="27"/>
      <c r="O37" s="27"/>
      <c r="P37" s="27"/>
      <c r="Q37" s="27"/>
      <c r="R37" s="67"/>
      <c r="S37" s="27"/>
    </row>
    <row r="38" spans="1:19" s="2" customFormat="1" ht="39.9" customHeight="1" x14ac:dyDescent="0.4">
      <c r="A38" s="17" t="s">
        <v>43</v>
      </c>
      <c r="B38" s="24"/>
      <c r="C38" s="18"/>
      <c r="D38" s="18"/>
      <c r="E38" s="17"/>
      <c r="F38" s="17"/>
      <c r="G38" s="17"/>
      <c r="H38" s="17"/>
      <c r="I38" s="19">
        <f t="shared" si="0"/>
        <v>0</v>
      </c>
      <c r="J38" s="19"/>
      <c r="K38" s="17"/>
      <c r="L38" s="27"/>
      <c r="M38" s="27"/>
      <c r="N38" s="27"/>
      <c r="O38" s="27"/>
      <c r="P38" s="27"/>
      <c r="Q38" s="27"/>
      <c r="R38" s="67"/>
      <c r="S38" s="27"/>
    </row>
    <row r="39" spans="1:19" s="2" customFormat="1" ht="39.9" customHeight="1" x14ac:dyDescent="0.4">
      <c r="A39" s="17" t="s">
        <v>43</v>
      </c>
      <c r="B39" s="24"/>
      <c r="C39" s="18"/>
      <c r="D39" s="18"/>
      <c r="E39" s="17"/>
      <c r="F39" s="17"/>
      <c r="G39" s="17"/>
      <c r="H39" s="17"/>
      <c r="I39" s="19">
        <f t="shared" si="0"/>
        <v>0</v>
      </c>
      <c r="J39" s="19"/>
      <c r="K39" s="17"/>
      <c r="L39" s="27"/>
      <c r="M39" s="27"/>
      <c r="N39" s="27"/>
      <c r="O39" s="27"/>
      <c r="P39" s="27"/>
      <c r="Q39" s="27"/>
      <c r="R39" s="67"/>
      <c r="S39" s="27"/>
    </row>
    <row r="40" spans="1:19" s="2" customFormat="1" ht="39.9" customHeight="1" x14ac:dyDescent="0.4">
      <c r="A40" s="17" t="s">
        <v>43</v>
      </c>
      <c r="B40" s="24"/>
      <c r="C40" s="18"/>
      <c r="D40" s="18"/>
      <c r="E40" s="17"/>
      <c r="F40" s="17"/>
      <c r="G40" s="17"/>
      <c r="H40" s="17"/>
      <c r="I40" s="19">
        <f t="shared" si="0"/>
        <v>0</v>
      </c>
      <c r="J40" s="19"/>
      <c r="K40" s="17"/>
      <c r="L40" s="27"/>
      <c r="M40" s="27"/>
      <c r="N40" s="27"/>
      <c r="O40" s="27"/>
      <c r="P40" s="27"/>
      <c r="Q40" s="27"/>
      <c r="R40" s="67"/>
      <c r="S40" s="27"/>
    </row>
    <row r="41" spans="1:19" s="2" customFormat="1" ht="39.9" customHeight="1" x14ac:dyDescent="0.4">
      <c r="A41" s="17" t="s">
        <v>43</v>
      </c>
      <c r="B41" s="24"/>
      <c r="C41" s="18"/>
      <c r="D41" s="18"/>
      <c r="E41" s="17"/>
      <c r="F41" s="17"/>
      <c r="G41" s="17"/>
      <c r="H41" s="17"/>
      <c r="I41" s="19">
        <f t="shared" si="0"/>
        <v>0</v>
      </c>
      <c r="J41" s="19"/>
      <c r="K41" s="17"/>
      <c r="L41" s="27"/>
      <c r="M41" s="27"/>
      <c r="N41" s="27"/>
      <c r="O41" s="27"/>
      <c r="P41" s="27"/>
      <c r="Q41" s="27"/>
      <c r="R41" s="67"/>
      <c r="S41" s="27"/>
    </row>
    <row r="42" spans="1:19" s="2" customFormat="1" ht="39.9" customHeight="1" x14ac:dyDescent="0.4">
      <c r="A42" s="17" t="s">
        <v>43</v>
      </c>
      <c r="B42" s="24"/>
      <c r="C42" s="18"/>
      <c r="D42" s="18"/>
      <c r="E42" s="17"/>
      <c r="F42" s="17"/>
      <c r="G42" s="17"/>
      <c r="H42" s="17"/>
      <c r="I42" s="19">
        <f t="shared" si="0"/>
        <v>0</v>
      </c>
      <c r="J42" s="19"/>
      <c r="K42" s="17"/>
      <c r="L42" s="27"/>
      <c r="M42" s="27"/>
      <c r="N42" s="27"/>
      <c r="O42" s="27"/>
      <c r="P42" s="27"/>
      <c r="Q42" s="27"/>
      <c r="R42" s="67"/>
      <c r="S42" s="27"/>
    </row>
    <row r="43" spans="1:19" s="2" customFormat="1" ht="39.9" customHeight="1" x14ac:dyDescent="0.4">
      <c r="A43" s="95" t="s">
        <v>106</v>
      </c>
      <c r="B43" s="96"/>
      <c r="C43" s="96"/>
      <c r="D43" s="97"/>
      <c r="E43" s="7">
        <f>SUM(E11:E42)</f>
        <v>0</v>
      </c>
      <c r="F43" s="7">
        <f t="shared" ref="F43:H43" si="1">SUM(F11:F42)</f>
        <v>0</v>
      </c>
      <c r="G43" s="7">
        <f t="shared" si="1"/>
        <v>0</v>
      </c>
      <c r="H43" s="7">
        <f t="shared" si="1"/>
        <v>0</v>
      </c>
      <c r="I43" s="7">
        <f t="shared" ref="I43:J43" si="2">SUM(I11:I42)</f>
        <v>0</v>
      </c>
      <c r="J43" s="7">
        <f t="shared" si="2"/>
        <v>0</v>
      </c>
      <c r="K43" s="7"/>
      <c r="L43" s="7"/>
      <c r="M43" s="7"/>
      <c r="N43" s="7"/>
      <c r="O43" s="7"/>
      <c r="P43" s="7"/>
      <c r="Q43" s="7"/>
      <c r="R43" s="62"/>
      <c r="S43" s="7"/>
    </row>
    <row r="44" spans="1:19" s="2" customFormat="1" ht="39.9" customHeight="1" x14ac:dyDescent="0.4">
      <c r="A44" s="76"/>
      <c r="B44" s="77"/>
      <c r="C44" s="77"/>
      <c r="D44" s="77"/>
      <c r="E44" s="98" t="s">
        <v>107</v>
      </c>
      <c r="F44" s="98"/>
      <c r="G44" s="98"/>
      <c r="H44" s="98"/>
      <c r="I44" s="98"/>
      <c r="J44" s="80" t="e">
        <f>J43/(I43-H43)</f>
        <v>#DIV/0!</v>
      </c>
      <c r="K44" s="7"/>
      <c r="L44" s="7"/>
      <c r="M44" s="7"/>
      <c r="N44" s="7"/>
      <c r="O44" s="7"/>
      <c r="P44" s="7"/>
      <c r="Q44" s="7"/>
      <c r="R44" s="62"/>
      <c r="S44" s="7"/>
    </row>
    <row r="45" spans="1:19" s="2" customFormat="1" ht="39.9" customHeight="1" x14ac:dyDescent="0.4">
      <c r="A45" s="36" t="s">
        <v>108</v>
      </c>
      <c r="B45" s="37" t="e">
        <f>SUM(K45)/K47*100</f>
        <v>#DIV/0!</v>
      </c>
      <c r="C45" s="30"/>
      <c r="D45" s="30"/>
      <c r="E45" s="30"/>
      <c r="F45" s="30"/>
      <c r="G45" s="30"/>
      <c r="H45" s="29" t="s">
        <v>109</v>
      </c>
      <c r="I45" s="30"/>
      <c r="J45" s="30"/>
      <c r="K45" s="38">
        <f>SUM(L45:S45)</f>
        <v>0</v>
      </c>
      <c r="L45" s="28">
        <f>SUM(L11:L17)</f>
        <v>0</v>
      </c>
      <c r="M45" s="28">
        <f t="shared" ref="M45:P45" si="3">SUM(M11:M17)</f>
        <v>0</v>
      </c>
      <c r="N45" s="28">
        <f t="shared" si="3"/>
        <v>0</v>
      </c>
      <c r="O45" s="28">
        <f t="shared" si="3"/>
        <v>0</v>
      </c>
      <c r="P45" s="28">
        <f t="shared" si="3"/>
        <v>0</v>
      </c>
      <c r="Q45" s="28">
        <f t="shared" ref="Q45" si="4">SUM(Q11:Q17)</f>
        <v>0</v>
      </c>
      <c r="R45" s="63"/>
      <c r="S45" s="28"/>
    </row>
    <row r="46" spans="1:19" s="2" customFormat="1" ht="39.9" customHeight="1" x14ac:dyDescent="0.4">
      <c r="A46" s="36" t="s">
        <v>110</v>
      </c>
      <c r="B46" s="37" t="e">
        <f>SUM(K46)/K47*100</f>
        <v>#DIV/0!</v>
      </c>
      <c r="C46" s="30"/>
      <c r="D46" s="30"/>
      <c r="E46" s="30"/>
      <c r="F46" s="30"/>
      <c r="G46" s="30"/>
      <c r="H46" s="29" t="s">
        <v>111</v>
      </c>
      <c r="I46" s="30"/>
      <c r="J46" s="30"/>
      <c r="K46" s="38">
        <f>SUM(L46:S46)</f>
        <v>0</v>
      </c>
      <c r="L46" s="28">
        <f>SUM(L18:L42)</f>
        <v>0</v>
      </c>
      <c r="M46" s="28">
        <f t="shared" ref="M46:P46" si="5">SUM(M18:M42)</f>
        <v>0</v>
      </c>
      <c r="N46" s="28">
        <f t="shared" si="5"/>
        <v>0</v>
      </c>
      <c r="O46" s="28">
        <f t="shared" si="5"/>
        <v>0</v>
      </c>
      <c r="P46" s="28">
        <f t="shared" si="5"/>
        <v>0</v>
      </c>
      <c r="Q46" s="28">
        <f t="shared" ref="Q46" si="6">SUM(Q18:Q42)</f>
        <v>0</v>
      </c>
      <c r="R46" s="63"/>
      <c r="S46" s="28"/>
    </row>
    <row r="47" spans="1:19" s="2" customFormat="1" ht="39.9" customHeight="1" x14ac:dyDescent="0.4">
      <c r="A47" s="29"/>
      <c r="B47" s="30"/>
      <c r="C47" s="30"/>
      <c r="D47" s="30"/>
      <c r="E47" s="30"/>
      <c r="F47" s="30"/>
      <c r="G47" s="30"/>
      <c r="H47" s="29" t="s">
        <v>112</v>
      </c>
      <c r="I47" s="30"/>
      <c r="J47" s="30"/>
      <c r="K47" s="38">
        <f>SUM(L47:S47)</f>
        <v>0</v>
      </c>
      <c r="L47" s="28">
        <f>SUM(L45:L46)</f>
        <v>0</v>
      </c>
      <c r="M47" s="28">
        <f t="shared" ref="M47:P47" si="7">SUM(M45:M46)</f>
        <v>0</v>
      </c>
      <c r="N47" s="28">
        <f t="shared" si="7"/>
        <v>0</v>
      </c>
      <c r="O47" s="28">
        <f t="shared" si="7"/>
        <v>0</v>
      </c>
      <c r="P47" s="28">
        <f t="shared" si="7"/>
        <v>0</v>
      </c>
      <c r="Q47" s="28">
        <f t="shared" ref="Q47" si="8">SUM(Q45:Q46)</f>
        <v>0</v>
      </c>
      <c r="R47" s="63"/>
      <c r="S47" s="28"/>
    </row>
    <row r="48" spans="1:19" s="2" customFormat="1" ht="36" customHeight="1" x14ac:dyDescent="0.4">
      <c r="A48" s="93" t="s">
        <v>113</v>
      </c>
      <c r="B48" s="94"/>
      <c r="C48" s="94"/>
      <c r="D48" s="94"/>
      <c r="E48" s="94"/>
      <c r="F48" s="94"/>
      <c r="G48" s="94"/>
      <c r="H48" s="94"/>
      <c r="I48" s="33"/>
      <c r="J48" s="33"/>
      <c r="K48" s="31">
        <f>SUM(L48:S48)</f>
        <v>30</v>
      </c>
      <c r="L48" s="28">
        <v>5</v>
      </c>
      <c r="M48" s="28">
        <v>5</v>
      </c>
      <c r="N48" s="28">
        <v>5</v>
      </c>
      <c r="O48" s="28">
        <v>5</v>
      </c>
      <c r="P48" s="28">
        <v>5</v>
      </c>
      <c r="Q48" s="28">
        <v>5</v>
      </c>
      <c r="R48" s="63"/>
      <c r="S48" s="28"/>
    </row>
    <row r="49" spans="1:24" s="2" customFormat="1" ht="36" customHeight="1" x14ac:dyDescent="0.4">
      <c r="A49" s="93" t="s">
        <v>114</v>
      </c>
      <c r="B49" s="94"/>
      <c r="C49" s="94"/>
      <c r="D49" s="94"/>
      <c r="E49" s="94"/>
      <c r="F49" s="94"/>
      <c r="G49" s="94"/>
      <c r="H49" s="94"/>
      <c r="I49" s="33"/>
      <c r="J49" s="33"/>
      <c r="K49" s="31"/>
      <c r="L49" s="31" t="e">
        <f>SUM(L45)/L47*100</f>
        <v>#DIV/0!</v>
      </c>
      <c r="M49" s="31" t="e">
        <f t="shared" ref="M49:Q49" si="9">SUM(M45)/M47*100</f>
        <v>#DIV/0!</v>
      </c>
      <c r="N49" s="31" t="e">
        <f t="shared" si="9"/>
        <v>#DIV/0!</v>
      </c>
      <c r="O49" s="31" t="e">
        <f t="shared" si="9"/>
        <v>#DIV/0!</v>
      </c>
      <c r="P49" s="31" t="e">
        <f t="shared" si="9"/>
        <v>#DIV/0!</v>
      </c>
      <c r="Q49" s="31" t="e">
        <f t="shared" si="9"/>
        <v>#DIV/0!</v>
      </c>
      <c r="R49" s="63"/>
      <c r="S49" s="28"/>
    </row>
    <row r="50" spans="1:24" s="2" customFormat="1" ht="36" customHeight="1" x14ac:dyDescent="0.4">
      <c r="A50" s="93" t="s">
        <v>115</v>
      </c>
      <c r="B50" s="94"/>
      <c r="C50" s="94"/>
      <c r="D50" s="94"/>
      <c r="E50" s="94"/>
      <c r="F50" s="94"/>
      <c r="G50" s="94"/>
      <c r="H50" s="94"/>
      <c r="I50" s="33"/>
      <c r="J50" s="33"/>
      <c r="K50" s="31"/>
      <c r="L50" s="31" t="e">
        <f>SUM(L46)/L47*100</f>
        <v>#DIV/0!</v>
      </c>
      <c r="M50" s="31" t="e">
        <f t="shared" ref="M50:Q50" si="10">SUM(M46)/M47*100</f>
        <v>#DIV/0!</v>
      </c>
      <c r="N50" s="31" t="e">
        <f t="shared" si="10"/>
        <v>#DIV/0!</v>
      </c>
      <c r="O50" s="31" t="e">
        <f t="shared" si="10"/>
        <v>#DIV/0!</v>
      </c>
      <c r="P50" s="31" t="e">
        <f t="shared" si="10"/>
        <v>#DIV/0!</v>
      </c>
      <c r="Q50" s="31" t="e">
        <f t="shared" si="10"/>
        <v>#DIV/0!</v>
      </c>
      <c r="R50" s="63"/>
      <c r="S50" s="28"/>
    </row>
    <row r="51" spans="1:24" s="2" customFormat="1" ht="36" customHeight="1" x14ac:dyDescent="0.4">
      <c r="B51" s="4"/>
      <c r="C51" s="4"/>
      <c r="D51" s="4"/>
      <c r="E51" s="4"/>
      <c r="F51" s="4"/>
      <c r="G51" s="4"/>
      <c r="H51" s="4"/>
      <c r="I51" s="4"/>
      <c r="J51" s="4"/>
      <c r="K51" s="5"/>
      <c r="L51" s="5"/>
      <c r="M51" s="5"/>
      <c r="N51" s="5"/>
      <c r="O51" s="5"/>
      <c r="P51" s="5"/>
      <c r="Q51" s="6"/>
      <c r="R51" s="64"/>
      <c r="S51" s="6"/>
    </row>
    <row r="52" spans="1:24" ht="36" customHeight="1" x14ac:dyDescent="0.3">
      <c r="A52" s="102" t="s">
        <v>116</v>
      </c>
      <c r="B52" s="102"/>
      <c r="C52" s="102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</row>
    <row r="53" spans="1:24" ht="36" customHeight="1" x14ac:dyDescent="0.3">
      <c r="A53" s="102" t="s">
        <v>117</v>
      </c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</row>
    <row r="54" spans="1:24" ht="108.75" customHeight="1" x14ac:dyDescent="0.3">
      <c r="P54" s="42"/>
      <c r="Q54" s="42"/>
      <c r="R54" s="53"/>
      <c r="S54" s="42"/>
      <c r="T54" s="42"/>
      <c r="U54" s="34"/>
      <c r="V54" s="34"/>
      <c r="W54" s="34"/>
      <c r="X54" s="34"/>
    </row>
    <row r="55" spans="1:24" ht="138" customHeight="1" x14ac:dyDescent="0.3">
      <c r="P55" s="41"/>
      <c r="Q55" s="41"/>
      <c r="R55" s="84"/>
      <c r="S55" s="41"/>
      <c r="T55" s="41"/>
      <c r="U55" s="35"/>
      <c r="V55" s="35"/>
      <c r="W55" s="35"/>
      <c r="X55" s="35"/>
    </row>
    <row r="56" spans="1:24" ht="110.25" customHeight="1" x14ac:dyDescent="0.3">
      <c r="A56" s="100" t="s">
        <v>0</v>
      </c>
      <c r="B56" s="100"/>
      <c r="C56" s="100"/>
      <c r="D56" s="100"/>
      <c r="E56" s="100"/>
      <c r="F56" s="100"/>
      <c r="G56" s="100"/>
      <c r="H56" s="100"/>
      <c r="I56" s="100"/>
      <c r="J56" s="3"/>
      <c r="K56" s="42"/>
      <c r="L56" s="42"/>
      <c r="M56" s="42"/>
      <c r="N56" s="42"/>
      <c r="O56" s="42"/>
      <c r="P56" s="40"/>
      <c r="Q56" s="40"/>
      <c r="R56" s="55"/>
      <c r="S56" s="40"/>
      <c r="T56" s="40"/>
      <c r="U56" s="35"/>
      <c r="W56" s="39"/>
      <c r="X56" s="39"/>
    </row>
    <row r="57" spans="1:24" ht="49.5" customHeight="1" x14ac:dyDescent="0.3">
      <c r="A57" s="101" t="s">
        <v>1</v>
      </c>
      <c r="B57" s="101"/>
      <c r="C57" s="101"/>
      <c r="D57" s="101"/>
      <c r="E57" s="101"/>
      <c r="F57" s="101"/>
      <c r="G57" s="101"/>
      <c r="H57" s="101"/>
      <c r="I57" s="101"/>
      <c r="J57" s="41"/>
      <c r="K57" s="46"/>
      <c r="L57" s="46"/>
      <c r="M57" s="46"/>
      <c r="N57" s="46"/>
      <c r="O57" s="46"/>
      <c r="P57" s="3"/>
      <c r="Q57" s="3"/>
      <c r="R57" s="53"/>
      <c r="S57" s="3"/>
      <c r="T57" s="3"/>
      <c r="U57" s="3"/>
      <c r="V57" s="3"/>
      <c r="W57" s="3"/>
      <c r="X57" s="1"/>
    </row>
    <row r="58" spans="1:24" ht="80.25" customHeight="1" x14ac:dyDescent="0.3">
      <c r="A58" s="99"/>
      <c r="B58" s="99"/>
      <c r="C58" s="99"/>
      <c r="D58" s="99"/>
      <c r="E58" s="99"/>
      <c r="F58" s="99"/>
      <c r="G58" s="99"/>
      <c r="H58" s="99"/>
      <c r="I58" s="99"/>
      <c r="J58" s="75"/>
      <c r="K58" s="8"/>
      <c r="L58" s="9" t="s">
        <v>118</v>
      </c>
      <c r="M58" s="9" t="s">
        <v>119</v>
      </c>
      <c r="N58" s="9" t="s">
        <v>120</v>
      </c>
      <c r="O58" s="9" t="s">
        <v>121</v>
      </c>
      <c r="P58" s="9" t="s">
        <v>122</v>
      </c>
      <c r="Q58" s="9" t="s">
        <v>123</v>
      </c>
      <c r="R58" s="57"/>
      <c r="S58" s="48"/>
    </row>
    <row r="59" spans="1:24" s="2" customFormat="1" ht="69.75" customHeight="1" x14ac:dyDescent="0.4">
      <c r="A59" s="112" t="s">
        <v>124</v>
      </c>
      <c r="B59" s="112"/>
      <c r="C59" s="112"/>
      <c r="D59" s="112"/>
      <c r="E59" s="112"/>
      <c r="F59" s="112"/>
      <c r="G59" s="112"/>
      <c r="H59" s="112"/>
      <c r="I59" s="112"/>
      <c r="J59" s="78"/>
      <c r="K59" s="10" t="s">
        <v>9</v>
      </c>
      <c r="L59" s="71" t="s">
        <v>125</v>
      </c>
      <c r="M59" s="71" t="s">
        <v>126</v>
      </c>
      <c r="N59" s="71" t="s">
        <v>127</v>
      </c>
      <c r="O59" s="71" t="s">
        <v>128</v>
      </c>
      <c r="P59" s="72" t="s">
        <v>129</v>
      </c>
      <c r="Q59" s="72" t="s">
        <v>130</v>
      </c>
      <c r="R59" s="58"/>
      <c r="S59" s="49"/>
    </row>
    <row r="60" spans="1:24" s="2" customFormat="1" ht="186.75" customHeight="1" x14ac:dyDescent="0.4">
      <c r="A60" s="108" t="s">
        <v>16</v>
      </c>
      <c r="B60" s="108"/>
      <c r="C60" s="108"/>
      <c r="D60" s="108"/>
      <c r="E60" s="108"/>
      <c r="F60" s="108"/>
      <c r="G60" s="108"/>
      <c r="H60" s="108"/>
      <c r="I60" s="108"/>
      <c r="J60" s="74"/>
      <c r="K60" s="10" t="s">
        <v>17</v>
      </c>
      <c r="L60" s="69" t="s">
        <v>131</v>
      </c>
      <c r="M60" s="70" t="s">
        <v>132</v>
      </c>
      <c r="N60" s="70" t="s">
        <v>133</v>
      </c>
      <c r="O60" s="70" t="s">
        <v>134</v>
      </c>
      <c r="P60" s="70" t="s">
        <v>135</v>
      </c>
      <c r="Q60" s="70" t="s">
        <v>136</v>
      </c>
      <c r="R60" s="59"/>
      <c r="S60" s="50"/>
    </row>
    <row r="61" spans="1:24" s="2" customFormat="1" ht="90" customHeight="1" x14ac:dyDescent="0.4">
      <c r="A61" s="105"/>
      <c r="B61" s="105"/>
      <c r="C61" s="105"/>
      <c r="D61" s="105"/>
      <c r="E61" s="105"/>
      <c r="F61" s="105"/>
      <c r="G61" s="105"/>
      <c r="H61" s="105"/>
      <c r="I61" s="105"/>
      <c r="J61" s="73"/>
      <c r="K61" s="10" t="s">
        <v>24</v>
      </c>
      <c r="L61" s="69" t="s">
        <v>25</v>
      </c>
      <c r="M61" s="70" t="s">
        <v>25</v>
      </c>
      <c r="N61" s="69" t="s">
        <v>25</v>
      </c>
      <c r="O61" s="70" t="s">
        <v>25</v>
      </c>
      <c r="P61" s="69" t="s">
        <v>25</v>
      </c>
      <c r="Q61" s="70" t="s">
        <v>25</v>
      </c>
      <c r="R61" s="59"/>
      <c r="S61" s="50"/>
    </row>
    <row r="62" spans="1:24" s="20" customFormat="1" ht="81" customHeight="1" x14ac:dyDescent="0.4">
      <c r="A62" s="106" t="s">
        <v>26</v>
      </c>
      <c r="B62" s="106" t="s">
        <v>27</v>
      </c>
      <c r="C62" s="103" t="s">
        <v>28</v>
      </c>
      <c r="D62" s="103" t="s">
        <v>29</v>
      </c>
      <c r="E62" s="115" t="s">
        <v>30</v>
      </c>
      <c r="F62" s="116"/>
      <c r="G62" s="116"/>
      <c r="H62" s="116"/>
      <c r="I62" s="116"/>
      <c r="J62" s="117"/>
      <c r="K62" s="113"/>
      <c r="L62" s="103" t="s">
        <v>137</v>
      </c>
      <c r="M62" s="103" t="s">
        <v>138</v>
      </c>
      <c r="N62" s="103" t="s">
        <v>139</v>
      </c>
      <c r="O62" s="103" t="s">
        <v>140</v>
      </c>
      <c r="P62" s="103" t="s">
        <v>141</v>
      </c>
      <c r="Q62" s="103" t="s">
        <v>142</v>
      </c>
      <c r="R62" s="60"/>
      <c r="S62" s="51"/>
    </row>
    <row r="63" spans="1:24" s="20" customFormat="1" ht="96" customHeight="1" x14ac:dyDescent="0.4">
      <c r="A63" s="107"/>
      <c r="B63" s="107"/>
      <c r="C63" s="104"/>
      <c r="D63" s="104"/>
      <c r="E63" s="21" t="s">
        <v>37</v>
      </c>
      <c r="F63" s="21" t="s">
        <v>38</v>
      </c>
      <c r="G63" s="21" t="s">
        <v>39</v>
      </c>
      <c r="H63" s="21" t="s">
        <v>143</v>
      </c>
      <c r="I63" s="21" t="s">
        <v>41</v>
      </c>
      <c r="J63" s="21" t="s">
        <v>42</v>
      </c>
      <c r="K63" s="114"/>
      <c r="L63" s="104"/>
      <c r="M63" s="104"/>
      <c r="N63" s="104"/>
      <c r="O63" s="104"/>
      <c r="P63" s="104"/>
      <c r="Q63" s="104"/>
      <c r="R63" s="61"/>
      <c r="S63" s="52"/>
    </row>
    <row r="64" spans="1:24" s="2" customFormat="1" ht="39.9" customHeight="1" x14ac:dyDescent="0.4">
      <c r="A64" s="11" t="s">
        <v>43</v>
      </c>
      <c r="B64" s="22" t="s">
        <v>144</v>
      </c>
      <c r="C64" s="12" t="s">
        <v>145</v>
      </c>
      <c r="D64" s="12" t="s">
        <v>46</v>
      </c>
      <c r="E64" s="11"/>
      <c r="F64" s="12"/>
      <c r="G64" s="12"/>
      <c r="H64" s="11"/>
      <c r="I64" s="13">
        <f>SUM(E64:H64)</f>
        <v>0</v>
      </c>
      <c r="J64" s="13"/>
      <c r="K64" s="11"/>
      <c r="L64" s="25"/>
      <c r="M64" s="25"/>
      <c r="N64" s="25"/>
      <c r="O64" s="25"/>
      <c r="P64" s="25"/>
      <c r="Q64" s="25"/>
      <c r="R64" s="65" t="s">
        <v>144</v>
      </c>
      <c r="S64" s="25" t="s">
        <v>146</v>
      </c>
    </row>
    <row r="65" spans="1:19" s="2" customFormat="1" ht="39.9" customHeight="1" x14ac:dyDescent="0.4">
      <c r="A65" s="11" t="s">
        <v>43</v>
      </c>
      <c r="B65" s="22" t="s">
        <v>147</v>
      </c>
      <c r="C65" s="12" t="s">
        <v>148</v>
      </c>
      <c r="D65" s="12" t="s">
        <v>46</v>
      </c>
      <c r="E65" s="11"/>
      <c r="F65" s="12"/>
      <c r="G65" s="12"/>
      <c r="H65" s="11"/>
      <c r="I65" s="13">
        <f t="shared" ref="I65:I95" si="11">SUM(E65:H65)</f>
        <v>0</v>
      </c>
      <c r="J65" s="13"/>
      <c r="K65" s="11"/>
      <c r="L65" s="89"/>
      <c r="M65" s="25"/>
      <c r="N65" s="25"/>
      <c r="O65" s="25"/>
      <c r="P65" s="25"/>
      <c r="Q65" s="25"/>
      <c r="R65" s="65" t="s">
        <v>147</v>
      </c>
      <c r="S65" s="25" t="s">
        <v>149</v>
      </c>
    </row>
    <row r="66" spans="1:19" s="2" customFormat="1" ht="39.9" customHeight="1" x14ac:dyDescent="0.4">
      <c r="A66" s="11" t="s">
        <v>43</v>
      </c>
      <c r="B66" s="22" t="s">
        <v>150</v>
      </c>
      <c r="C66" s="12" t="s">
        <v>151</v>
      </c>
      <c r="D66" s="12" t="s">
        <v>46</v>
      </c>
      <c r="E66" s="11"/>
      <c r="F66" s="12"/>
      <c r="G66" s="12"/>
      <c r="H66" s="11"/>
      <c r="I66" s="13">
        <f t="shared" si="11"/>
        <v>0</v>
      </c>
      <c r="J66" s="13"/>
      <c r="K66" s="11"/>
      <c r="L66" s="89"/>
      <c r="M66" s="25"/>
      <c r="N66" s="25"/>
      <c r="O66" s="25"/>
      <c r="P66" s="25"/>
      <c r="Q66" s="25"/>
      <c r="R66" s="65" t="s">
        <v>150</v>
      </c>
      <c r="S66" s="25" t="s">
        <v>152</v>
      </c>
    </row>
    <row r="67" spans="1:19" s="2" customFormat="1" ht="39.9" customHeight="1" x14ac:dyDescent="0.4">
      <c r="A67" s="11" t="s">
        <v>43</v>
      </c>
      <c r="B67" s="22" t="s">
        <v>153</v>
      </c>
      <c r="C67" s="12" t="s">
        <v>154</v>
      </c>
      <c r="D67" s="12" t="s">
        <v>46</v>
      </c>
      <c r="E67" s="11"/>
      <c r="F67" s="12"/>
      <c r="G67" s="12"/>
      <c r="H67" s="11"/>
      <c r="I67" s="13">
        <f t="shared" si="11"/>
        <v>0</v>
      </c>
      <c r="J67" s="13"/>
      <c r="K67" s="11"/>
      <c r="L67" s="89"/>
      <c r="M67" s="25"/>
      <c r="N67" s="25"/>
      <c r="O67" s="25"/>
      <c r="P67" s="25"/>
      <c r="Q67" s="25"/>
      <c r="R67" s="65" t="s">
        <v>153</v>
      </c>
      <c r="S67" s="25" t="s">
        <v>155</v>
      </c>
    </row>
    <row r="68" spans="1:19" s="2" customFormat="1" ht="39.9" customHeight="1" x14ac:dyDescent="0.4">
      <c r="A68" s="11" t="s">
        <v>43</v>
      </c>
      <c r="B68" s="22" t="s">
        <v>156</v>
      </c>
      <c r="C68" s="12" t="s">
        <v>157</v>
      </c>
      <c r="D68" s="12" t="s">
        <v>46</v>
      </c>
      <c r="E68" s="11"/>
      <c r="F68" s="12"/>
      <c r="G68" s="12"/>
      <c r="H68" s="11"/>
      <c r="I68" s="13">
        <f t="shared" si="11"/>
        <v>0</v>
      </c>
      <c r="J68" s="13"/>
      <c r="K68" s="11"/>
      <c r="L68" s="89"/>
      <c r="M68" s="25"/>
      <c r="N68" s="25"/>
      <c r="O68" s="25"/>
      <c r="P68" s="25"/>
      <c r="Q68" s="25"/>
      <c r="R68" s="65" t="s">
        <v>156</v>
      </c>
      <c r="S68" s="25" t="s">
        <v>158</v>
      </c>
    </row>
    <row r="69" spans="1:19" s="2" customFormat="1" ht="39.9" customHeight="1" x14ac:dyDescent="0.4">
      <c r="A69" s="11" t="s">
        <v>43</v>
      </c>
      <c r="B69" s="22" t="s">
        <v>159</v>
      </c>
      <c r="C69" s="12" t="s">
        <v>160</v>
      </c>
      <c r="D69" s="12" t="s">
        <v>46</v>
      </c>
      <c r="E69" s="11"/>
      <c r="F69" s="12"/>
      <c r="G69" s="12"/>
      <c r="H69" s="11"/>
      <c r="I69" s="13">
        <f t="shared" si="11"/>
        <v>0</v>
      </c>
      <c r="J69" s="13"/>
      <c r="K69" s="11"/>
      <c r="L69" s="89"/>
      <c r="M69" s="25"/>
      <c r="N69" s="25"/>
      <c r="O69" s="25"/>
      <c r="P69" s="25"/>
      <c r="Q69" s="25"/>
      <c r="R69" s="65" t="s">
        <v>159</v>
      </c>
      <c r="S69" s="25" t="s">
        <v>161</v>
      </c>
    </row>
    <row r="70" spans="1:19" s="2" customFormat="1" ht="39.9" customHeight="1" x14ac:dyDescent="0.4">
      <c r="A70" s="14" t="s">
        <v>43</v>
      </c>
      <c r="B70" s="23" t="s">
        <v>63</v>
      </c>
      <c r="C70" s="15" t="s">
        <v>162</v>
      </c>
      <c r="D70" s="15" t="s">
        <v>46</v>
      </c>
      <c r="E70" s="14"/>
      <c r="F70" s="15"/>
      <c r="G70" s="92"/>
      <c r="H70" s="14"/>
      <c r="I70" s="16">
        <f t="shared" si="11"/>
        <v>0</v>
      </c>
      <c r="J70" s="16"/>
      <c r="K70" s="14"/>
      <c r="L70" s="26"/>
      <c r="M70" s="26"/>
      <c r="N70" s="26"/>
      <c r="O70" s="26"/>
      <c r="P70" s="26"/>
      <c r="Q70" s="26"/>
      <c r="R70" s="66" t="s">
        <v>63</v>
      </c>
      <c r="S70" s="26" t="s">
        <v>163</v>
      </c>
    </row>
    <row r="71" spans="1:19" s="2" customFormat="1" ht="39.9" customHeight="1" x14ac:dyDescent="0.4">
      <c r="A71" s="17" t="s">
        <v>43</v>
      </c>
      <c r="B71" s="24" t="s">
        <v>164</v>
      </c>
      <c r="C71" s="18" t="s">
        <v>165</v>
      </c>
      <c r="D71" s="18" t="s">
        <v>46</v>
      </c>
      <c r="E71" s="17"/>
      <c r="F71" s="17"/>
      <c r="G71" s="17"/>
      <c r="H71" s="17"/>
      <c r="I71" s="19">
        <f t="shared" si="11"/>
        <v>0</v>
      </c>
      <c r="J71" s="19"/>
      <c r="K71" s="17"/>
      <c r="L71" s="27"/>
      <c r="M71" s="27"/>
      <c r="N71" s="27"/>
      <c r="O71" s="27"/>
      <c r="P71" s="27"/>
      <c r="Q71" s="27"/>
      <c r="R71" s="67" t="s">
        <v>164</v>
      </c>
      <c r="S71" s="27" t="s">
        <v>166</v>
      </c>
    </row>
    <row r="72" spans="1:19" s="2" customFormat="1" ht="39.9" customHeight="1" x14ac:dyDescent="0.4">
      <c r="A72" s="17" t="s">
        <v>43</v>
      </c>
      <c r="B72" s="24" t="s">
        <v>167</v>
      </c>
      <c r="C72" s="18" t="s">
        <v>168</v>
      </c>
      <c r="D72" s="18" t="s">
        <v>46</v>
      </c>
      <c r="E72" s="17"/>
      <c r="F72" s="17"/>
      <c r="G72" s="17"/>
      <c r="H72" s="17"/>
      <c r="I72" s="19">
        <f t="shared" si="11"/>
        <v>0</v>
      </c>
      <c r="J72" s="19"/>
      <c r="K72" s="17"/>
      <c r="L72" s="27"/>
      <c r="M72" s="27"/>
      <c r="N72" s="27"/>
      <c r="O72" s="27"/>
      <c r="P72" s="27"/>
      <c r="Q72" s="27"/>
      <c r="R72" s="67" t="s">
        <v>167</v>
      </c>
      <c r="S72" s="27" t="s">
        <v>169</v>
      </c>
    </row>
    <row r="73" spans="1:19" s="2" customFormat="1" ht="39.9" customHeight="1" x14ac:dyDescent="0.4">
      <c r="A73" s="17" t="s">
        <v>43</v>
      </c>
      <c r="B73" s="24" t="s">
        <v>170</v>
      </c>
      <c r="C73" s="18" t="s">
        <v>171</v>
      </c>
      <c r="D73" s="18" t="s">
        <v>46</v>
      </c>
      <c r="E73" s="17"/>
      <c r="F73" s="17"/>
      <c r="G73" s="17"/>
      <c r="H73" s="17"/>
      <c r="I73" s="19">
        <f t="shared" si="11"/>
        <v>0</v>
      </c>
      <c r="J73" s="19"/>
      <c r="K73" s="17"/>
      <c r="L73" s="27"/>
      <c r="M73" s="27"/>
      <c r="N73" s="27"/>
      <c r="O73" s="27"/>
      <c r="P73" s="27"/>
      <c r="Q73" s="27"/>
      <c r="R73" s="67" t="s">
        <v>170</v>
      </c>
      <c r="S73" s="27" t="s">
        <v>172</v>
      </c>
    </row>
    <row r="74" spans="1:19" s="2" customFormat="1" ht="39.9" customHeight="1" x14ac:dyDescent="0.4">
      <c r="A74" s="17" t="s">
        <v>43</v>
      </c>
      <c r="B74" s="24" t="s">
        <v>173</v>
      </c>
      <c r="C74" s="18" t="s">
        <v>174</v>
      </c>
      <c r="D74" s="18" t="s">
        <v>46</v>
      </c>
      <c r="E74" s="17"/>
      <c r="F74" s="17"/>
      <c r="G74" s="17"/>
      <c r="H74" s="17"/>
      <c r="I74" s="19">
        <f t="shared" si="11"/>
        <v>0</v>
      </c>
      <c r="J74" s="19"/>
      <c r="K74" s="17"/>
      <c r="L74" s="27"/>
      <c r="M74" s="27"/>
      <c r="N74" s="27"/>
      <c r="O74" s="27"/>
      <c r="P74" s="27"/>
      <c r="Q74" s="27"/>
      <c r="R74" s="67" t="s">
        <v>173</v>
      </c>
      <c r="S74" s="27" t="s">
        <v>175</v>
      </c>
    </row>
    <row r="75" spans="1:19" s="2" customFormat="1" ht="39.9" customHeight="1" x14ac:dyDescent="0.4">
      <c r="A75" s="17" t="s">
        <v>43</v>
      </c>
      <c r="B75" s="24" t="s">
        <v>176</v>
      </c>
      <c r="C75" s="18" t="s">
        <v>177</v>
      </c>
      <c r="D75" s="18" t="s">
        <v>46</v>
      </c>
      <c r="E75" s="17"/>
      <c r="F75" s="17"/>
      <c r="G75" s="17"/>
      <c r="H75" s="17"/>
      <c r="I75" s="19">
        <f t="shared" si="11"/>
        <v>0</v>
      </c>
      <c r="J75" s="19"/>
      <c r="K75" s="17"/>
      <c r="L75" s="27"/>
      <c r="M75" s="27"/>
      <c r="N75" s="27"/>
      <c r="O75" s="27"/>
      <c r="P75" s="27"/>
      <c r="Q75" s="27"/>
      <c r="R75" s="67" t="s">
        <v>176</v>
      </c>
      <c r="S75" s="27" t="s">
        <v>178</v>
      </c>
    </row>
    <row r="76" spans="1:19" s="2" customFormat="1" ht="39.9" customHeight="1" x14ac:dyDescent="0.4">
      <c r="A76" s="17" t="s">
        <v>43</v>
      </c>
      <c r="B76" s="24" t="s">
        <v>179</v>
      </c>
      <c r="C76" s="18" t="s">
        <v>180</v>
      </c>
      <c r="D76" s="18" t="s">
        <v>46</v>
      </c>
      <c r="E76" s="17"/>
      <c r="F76" s="17"/>
      <c r="G76" s="17"/>
      <c r="H76" s="17"/>
      <c r="I76" s="19">
        <f t="shared" si="11"/>
        <v>0</v>
      </c>
      <c r="J76" s="19"/>
      <c r="K76" s="17"/>
      <c r="L76" s="27"/>
      <c r="M76" s="27"/>
      <c r="N76" s="27"/>
      <c r="O76" s="27"/>
      <c r="P76" s="27"/>
      <c r="Q76" s="27"/>
      <c r="R76" s="67" t="s">
        <v>179</v>
      </c>
      <c r="S76" s="27" t="s">
        <v>181</v>
      </c>
    </row>
    <row r="77" spans="1:19" s="2" customFormat="1" ht="39.9" customHeight="1" x14ac:dyDescent="0.4">
      <c r="A77" s="17" t="s">
        <v>43</v>
      </c>
      <c r="B77" s="24" t="s">
        <v>182</v>
      </c>
      <c r="C77" s="18" t="s">
        <v>183</v>
      </c>
      <c r="D77" s="18" t="s">
        <v>46</v>
      </c>
      <c r="E77" s="17"/>
      <c r="F77" s="17"/>
      <c r="G77" s="17"/>
      <c r="H77" s="17"/>
      <c r="I77" s="19">
        <f t="shared" si="11"/>
        <v>0</v>
      </c>
      <c r="J77" s="19"/>
      <c r="K77" s="17"/>
      <c r="L77" s="27"/>
      <c r="M77" s="27"/>
      <c r="N77" s="27"/>
      <c r="O77" s="27"/>
      <c r="P77" s="27"/>
      <c r="Q77" s="27"/>
      <c r="R77" s="67" t="s">
        <v>182</v>
      </c>
      <c r="S77" s="27" t="s">
        <v>184</v>
      </c>
    </row>
    <row r="78" spans="1:19" s="2" customFormat="1" ht="39.9" customHeight="1" x14ac:dyDescent="0.4">
      <c r="A78" s="17" t="s">
        <v>43</v>
      </c>
      <c r="B78" s="24" t="s">
        <v>185</v>
      </c>
      <c r="C78" s="18" t="s">
        <v>186</v>
      </c>
      <c r="D78" s="18" t="s">
        <v>46</v>
      </c>
      <c r="E78" s="17"/>
      <c r="F78" s="17"/>
      <c r="G78" s="17"/>
      <c r="H78" s="17"/>
      <c r="I78" s="19">
        <f t="shared" si="11"/>
        <v>0</v>
      </c>
      <c r="J78" s="19"/>
      <c r="K78" s="17"/>
      <c r="L78" s="27"/>
      <c r="M78" s="27"/>
      <c r="N78" s="27"/>
      <c r="O78" s="27"/>
      <c r="P78" s="27"/>
      <c r="Q78" s="27"/>
      <c r="R78" s="67" t="s">
        <v>185</v>
      </c>
      <c r="S78" s="27" t="s">
        <v>187</v>
      </c>
    </row>
    <row r="79" spans="1:19" s="2" customFormat="1" ht="39.9" customHeight="1" x14ac:dyDescent="0.4">
      <c r="A79" s="17" t="s">
        <v>43</v>
      </c>
      <c r="B79" s="24" t="s">
        <v>188</v>
      </c>
      <c r="C79" s="18" t="s">
        <v>189</v>
      </c>
      <c r="D79" s="18" t="s">
        <v>46</v>
      </c>
      <c r="E79" s="17"/>
      <c r="F79" s="17"/>
      <c r="G79" s="17"/>
      <c r="H79" s="17"/>
      <c r="I79" s="19">
        <f t="shared" si="11"/>
        <v>0</v>
      </c>
      <c r="J79" s="19"/>
      <c r="K79" s="17"/>
      <c r="L79" s="27"/>
      <c r="M79" s="27"/>
      <c r="N79" s="27"/>
      <c r="O79" s="27"/>
      <c r="P79" s="27"/>
      <c r="Q79" s="27"/>
      <c r="R79" s="67" t="s">
        <v>188</v>
      </c>
      <c r="S79" s="27" t="s">
        <v>190</v>
      </c>
    </row>
    <row r="80" spans="1:19" s="2" customFormat="1" ht="39.9" customHeight="1" x14ac:dyDescent="0.4">
      <c r="A80" s="17" t="s">
        <v>43</v>
      </c>
      <c r="B80" s="24" t="s">
        <v>191</v>
      </c>
      <c r="C80" s="18" t="s">
        <v>192</v>
      </c>
      <c r="D80" s="18" t="s">
        <v>46</v>
      </c>
      <c r="E80" s="17"/>
      <c r="F80" s="17"/>
      <c r="G80" s="17"/>
      <c r="H80" s="17"/>
      <c r="I80" s="19">
        <f t="shared" si="11"/>
        <v>0</v>
      </c>
      <c r="J80" s="19"/>
      <c r="K80" s="17"/>
      <c r="L80" s="27"/>
      <c r="M80" s="27"/>
      <c r="N80" s="27"/>
      <c r="O80" s="27"/>
      <c r="P80" s="27"/>
      <c r="Q80" s="27"/>
      <c r="R80" s="67" t="s">
        <v>191</v>
      </c>
      <c r="S80" s="27" t="s">
        <v>193</v>
      </c>
    </row>
    <row r="81" spans="1:19" s="2" customFormat="1" ht="39.9" customHeight="1" x14ac:dyDescent="0.4">
      <c r="A81" s="17" t="s">
        <v>43</v>
      </c>
      <c r="B81" s="24" t="s">
        <v>194</v>
      </c>
      <c r="C81" s="18" t="s">
        <v>195</v>
      </c>
      <c r="D81" s="18" t="s">
        <v>46</v>
      </c>
      <c r="E81" s="17"/>
      <c r="F81" s="17"/>
      <c r="G81" s="17"/>
      <c r="H81" s="17"/>
      <c r="I81" s="19">
        <f t="shared" si="11"/>
        <v>0</v>
      </c>
      <c r="J81" s="19"/>
      <c r="K81" s="17"/>
      <c r="L81" s="27"/>
      <c r="M81" s="27"/>
      <c r="N81" s="27"/>
      <c r="O81" s="27"/>
      <c r="P81" s="27"/>
      <c r="Q81" s="27"/>
      <c r="R81" s="67" t="s">
        <v>194</v>
      </c>
      <c r="S81" s="27" t="s">
        <v>196</v>
      </c>
    </row>
    <row r="82" spans="1:19" s="2" customFormat="1" ht="39.9" customHeight="1" x14ac:dyDescent="0.4">
      <c r="A82" s="17" t="s">
        <v>43</v>
      </c>
      <c r="B82" s="24" t="s">
        <v>197</v>
      </c>
      <c r="C82" s="18" t="s">
        <v>198</v>
      </c>
      <c r="D82" s="18" t="s">
        <v>46</v>
      </c>
      <c r="E82" s="17"/>
      <c r="F82" s="17"/>
      <c r="G82" s="17"/>
      <c r="H82" s="17"/>
      <c r="I82" s="19">
        <f t="shared" si="11"/>
        <v>0</v>
      </c>
      <c r="J82" s="19"/>
      <c r="K82" s="17"/>
      <c r="L82" s="27"/>
      <c r="M82" s="27"/>
      <c r="N82" s="27"/>
      <c r="O82" s="27"/>
      <c r="P82" s="27"/>
      <c r="Q82" s="27"/>
      <c r="R82" s="67" t="s">
        <v>197</v>
      </c>
      <c r="S82" s="27" t="s">
        <v>199</v>
      </c>
    </row>
    <row r="83" spans="1:19" s="2" customFormat="1" ht="39.9" customHeight="1" x14ac:dyDescent="0.4">
      <c r="A83" s="17" t="s">
        <v>43</v>
      </c>
      <c r="B83" s="24" t="s">
        <v>200</v>
      </c>
      <c r="C83" s="18" t="s">
        <v>201</v>
      </c>
      <c r="D83" s="18" t="s">
        <v>46</v>
      </c>
      <c r="E83" s="17"/>
      <c r="F83" s="17"/>
      <c r="G83" s="17"/>
      <c r="H83" s="17"/>
      <c r="I83" s="19">
        <f t="shared" si="11"/>
        <v>0</v>
      </c>
      <c r="J83" s="19"/>
      <c r="K83" s="17"/>
      <c r="L83" s="27"/>
      <c r="M83" s="27"/>
      <c r="N83" s="27"/>
      <c r="O83" s="27"/>
      <c r="P83" s="27"/>
      <c r="Q83" s="27"/>
      <c r="R83" s="67" t="s">
        <v>200</v>
      </c>
      <c r="S83" s="27" t="s">
        <v>202</v>
      </c>
    </row>
    <row r="84" spans="1:19" s="2" customFormat="1" ht="39.9" customHeight="1" x14ac:dyDescent="0.4">
      <c r="A84" s="17" t="s">
        <v>43</v>
      </c>
      <c r="B84" s="24" t="s">
        <v>203</v>
      </c>
      <c r="C84" s="18" t="s">
        <v>204</v>
      </c>
      <c r="D84" s="18" t="s">
        <v>46</v>
      </c>
      <c r="E84" s="17"/>
      <c r="F84" s="17"/>
      <c r="G84" s="17"/>
      <c r="H84" s="17"/>
      <c r="I84" s="19">
        <f t="shared" si="11"/>
        <v>0</v>
      </c>
      <c r="J84" s="19"/>
      <c r="K84" s="17"/>
      <c r="L84" s="91"/>
      <c r="M84" s="27"/>
      <c r="N84" s="27"/>
      <c r="O84" s="27"/>
      <c r="P84" s="27"/>
      <c r="Q84" s="27"/>
      <c r="R84" s="67" t="s">
        <v>203</v>
      </c>
      <c r="S84" s="27" t="s">
        <v>205</v>
      </c>
    </row>
    <row r="85" spans="1:19" s="2" customFormat="1" ht="39.9" customHeight="1" x14ac:dyDescent="0.4">
      <c r="A85" s="17" t="s">
        <v>43</v>
      </c>
      <c r="B85" s="24"/>
      <c r="C85" s="18"/>
      <c r="D85" s="18"/>
      <c r="E85" s="17"/>
      <c r="F85" s="17"/>
      <c r="G85" s="17"/>
      <c r="H85" s="17"/>
      <c r="I85" s="19">
        <f t="shared" si="11"/>
        <v>0</v>
      </c>
      <c r="J85" s="19"/>
      <c r="K85" s="17"/>
      <c r="L85" s="91"/>
      <c r="M85" s="27"/>
      <c r="N85" s="27"/>
      <c r="O85" s="27"/>
      <c r="P85" s="27"/>
      <c r="Q85" s="27"/>
      <c r="R85" s="67" t="s">
        <v>206</v>
      </c>
      <c r="S85" s="27" t="s">
        <v>207</v>
      </c>
    </row>
    <row r="86" spans="1:19" s="2" customFormat="1" ht="39.9" customHeight="1" x14ac:dyDescent="0.4">
      <c r="A86" s="17" t="s">
        <v>43</v>
      </c>
      <c r="B86" s="24"/>
      <c r="C86" s="18"/>
      <c r="D86" s="18"/>
      <c r="E86" s="17"/>
      <c r="F86" s="17"/>
      <c r="G86" s="17"/>
      <c r="H86" s="17"/>
      <c r="I86" s="19">
        <f t="shared" si="11"/>
        <v>0</v>
      </c>
      <c r="J86" s="19"/>
      <c r="K86" s="17"/>
      <c r="L86" s="91"/>
      <c r="M86" s="27"/>
      <c r="N86" s="27"/>
      <c r="O86" s="27"/>
      <c r="P86" s="27"/>
      <c r="Q86" s="27"/>
      <c r="R86" s="67" t="s">
        <v>208</v>
      </c>
      <c r="S86" s="27" t="s">
        <v>209</v>
      </c>
    </row>
    <row r="87" spans="1:19" s="2" customFormat="1" ht="39.9" customHeight="1" x14ac:dyDescent="0.4">
      <c r="A87" s="17" t="s">
        <v>43</v>
      </c>
      <c r="B87" s="24"/>
      <c r="C87" s="18"/>
      <c r="D87" s="18"/>
      <c r="E87" s="17"/>
      <c r="F87" s="17"/>
      <c r="G87" s="17"/>
      <c r="H87" s="17"/>
      <c r="I87" s="19">
        <f t="shared" si="11"/>
        <v>0</v>
      </c>
      <c r="J87" s="19"/>
      <c r="K87" s="17"/>
      <c r="L87" s="90"/>
      <c r="M87" s="27"/>
      <c r="N87" s="27"/>
      <c r="O87" s="27"/>
      <c r="P87" s="27"/>
      <c r="Q87" s="27"/>
      <c r="R87" s="67"/>
      <c r="S87" s="27"/>
    </row>
    <row r="88" spans="1:19" s="2" customFormat="1" ht="39.9" customHeight="1" x14ac:dyDescent="0.4">
      <c r="A88" s="17" t="s">
        <v>43</v>
      </c>
      <c r="B88" s="24"/>
      <c r="C88" s="18"/>
      <c r="D88" s="18"/>
      <c r="E88" s="17"/>
      <c r="F88" s="17"/>
      <c r="G88" s="17"/>
      <c r="H88" s="17"/>
      <c r="I88" s="19">
        <f t="shared" si="11"/>
        <v>0</v>
      </c>
      <c r="J88" s="19"/>
      <c r="K88" s="17"/>
      <c r="L88" s="90"/>
      <c r="M88" s="27"/>
      <c r="N88" s="27"/>
      <c r="O88" s="27"/>
      <c r="P88" s="27"/>
      <c r="Q88" s="27"/>
      <c r="R88" s="67"/>
      <c r="S88" s="27"/>
    </row>
    <row r="89" spans="1:19" s="2" customFormat="1" ht="39.9" customHeight="1" x14ac:dyDescent="0.4">
      <c r="A89" s="17" t="s">
        <v>43</v>
      </c>
      <c r="B89" s="24"/>
      <c r="C89" s="18"/>
      <c r="D89" s="18"/>
      <c r="E89" s="17"/>
      <c r="F89" s="17"/>
      <c r="G89" s="17"/>
      <c r="H89" s="17"/>
      <c r="I89" s="19">
        <f t="shared" si="11"/>
        <v>0</v>
      </c>
      <c r="J89" s="19"/>
      <c r="K89" s="17"/>
      <c r="L89" s="90"/>
      <c r="M89" s="27"/>
      <c r="N89" s="27"/>
      <c r="O89" s="27"/>
      <c r="P89" s="27"/>
      <c r="Q89" s="27"/>
      <c r="R89" s="67"/>
      <c r="S89" s="27"/>
    </row>
    <row r="90" spans="1:19" s="2" customFormat="1" ht="39.9" customHeight="1" x14ac:dyDescent="0.4">
      <c r="A90" s="17" t="s">
        <v>43</v>
      </c>
      <c r="B90" s="24"/>
      <c r="C90" s="18"/>
      <c r="D90" s="18"/>
      <c r="E90" s="17"/>
      <c r="F90" s="17"/>
      <c r="G90" s="17"/>
      <c r="H90" s="17"/>
      <c r="I90" s="19">
        <f t="shared" si="11"/>
        <v>0</v>
      </c>
      <c r="J90" s="19"/>
      <c r="K90" s="17"/>
      <c r="L90" s="90"/>
      <c r="M90" s="27"/>
      <c r="N90" s="27"/>
      <c r="O90" s="27"/>
      <c r="P90" s="27"/>
      <c r="Q90" s="27"/>
      <c r="R90" s="67"/>
      <c r="S90" s="27"/>
    </row>
    <row r="91" spans="1:19" s="2" customFormat="1" ht="39.9" customHeight="1" x14ac:dyDescent="0.4">
      <c r="A91" s="17" t="s">
        <v>43</v>
      </c>
      <c r="B91" s="24"/>
      <c r="C91" s="18"/>
      <c r="D91" s="18"/>
      <c r="E91" s="17"/>
      <c r="F91" s="17"/>
      <c r="G91" s="17"/>
      <c r="H91" s="17"/>
      <c r="I91" s="19">
        <f t="shared" si="11"/>
        <v>0</v>
      </c>
      <c r="J91" s="19"/>
      <c r="K91" s="17"/>
      <c r="L91" s="90"/>
      <c r="M91" s="27"/>
      <c r="N91" s="27"/>
      <c r="O91" s="27"/>
      <c r="P91" s="27"/>
      <c r="Q91" s="27"/>
      <c r="R91" s="67"/>
      <c r="S91" s="27"/>
    </row>
    <row r="92" spans="1:19" s="2" customFormat="1" ht="39.9" customHeight="1" x14ac:dyDescent="0.4">
      <c r="A92" s="17" t="s">
        <v>43</v>
      </c>
      <c r="B92" s="24"/>
      <c r="C92" s="18"/>
      <c r="D92" s="18"/>
      <c r="E92" s="17"/>
      <c r="F92" s="17"/>
      <c r="G92" s="17"/>
      <c r="H92" s="17"/>
      <c r="I92" s="19">
        <f t="shared" si="11"/>
        <v>0</v>
      </c>
      <c r="J92" s="19"/>
      <c r="K92" s="17"/>
      <c r="L92" s="90"/>
      <c r="M92" s="27"/>
      <c r="N92" s="27"/>
      <c r="O92" s="27"/>
      <c r="P92" s="27"/>
      <c r="Q92" s="27"/>
      <c r="R92" s="67"/>
      <c r="S92" s="27"/>
    </row>
    <row r="93" spans="1:19" s="2" customFormat="1" ht="39.9" customHeight="1" x14ac:dyDescent="0.4">
      <c r="A93" s="17" t="s">
        <v>43</v>
      </c>
      <c r="B93" s="24"/>
      <c r="C93" s="18"/>
      <c r="D93" s="18"/>
      <c r="E93" s="17"/>
      <c r="F93" s="17"/>
      <c r="G93" s="17"/>
      <c r="H93" s="17"/>
      <c r="I93" s="19">
        <f t="shared" si="11"/>
        <v>0</v>
      </c>
      <c r="J93" s="19"/>
      <c r="K93" s="17"/>
      <c r="L93" s="90"/>
      <c r="M93" s="27"/>
      <c r="N93" s="27"/>
      <c r="O93" s="27"/>
      <c r="P93" s="27"/>
      <c r="Q93" s="27"/>
      <c r="R93" s="67"/>
      <c r="S93" s="27"/>
    </row>
    <row r="94" spans="1:19" s="2" customFormat="1" ht="39.9" customHeight="1" x14ac:dyDescent="0.4">
      <c r="A94" s="17" t="s">
        <v>43</v>
      </c>
      <c r="B94" s="24"/>
      <c r="C94" s="18"/>
      <c r="D94" s="18"/>
      <c r="E94" s="17"/>
      <c r="F94" s="17"/>
      <c r="G94" s="17"/>
      <c r="H94" s="17"/>
      <c r="I94" s="19">
        <f t="shared" si="11"/>
        <v>0</v>
      </c>
      <c r="J94" s="19"/>
      <c r="K94" s="17"/>
      <c r="L94" s="90"/>
      <c r="M94" s="27"/>
      <c r="N94" s="27"/>
      <c r="O94" s="27"/>
      <c r="P94" s="27"/>
      <c r="Q94" s="27"/>
      <c r="R94" s="67"/>
      <c r="S94" s="27"/>
    </row>
    <row r="95" spans="1:19" s="2" customFormat="1" ht="39.9" customHeight="1" x14ac:dyDescent="0.4">
      <c r="A95" s="17" t="s">
        <v>43</v>
      </c>
      <c r="B95" s="24"/>
      <c r="C95" s="18"/>
      <c r="D95" s="18"/>
      <c r="E95" s="17"/>
      <c r="F95" s="17"/>
      <c r="G95" s="17"/>
      <c r="H95" s="17"/>
      <c r="I95" s="19">
        <f t="shared" si="11"/>
        <v>0</v>
      </c>
      <c r="J95" s="19"/>
      <c r="K95" s="17"/>
      <c r="L95" s="90"/>
      <c r="M95" s="27"/>
      <c r="N95" s="27"/>
      <c r="O95" s="27"/>
      <c r="P95" s="27"/>
      <c r="Q95" s="27"/>
      <c r="R95" s="67"/>
      <c r="S95" s="27"/>
    </row>
    <row r="96" spans="1:19" s="2" customFormat="1" ht="39.9" customHeight="1" x14ac:dyDescent="0.4">
      <c r="A96" s="95" t="s">
        <v>106</v>
      </c>
      <c r="B96" s="96"/>
      <c r="C96" s="96"/>
      <c r="D96" s="97"/>
      <c r="E96" s="7">
        <f t="shared" ref="E96:J96" si="12">SUM(E64:E95)</f>
        <v>0</v>
      </c>
      <c r="F96" s="7">
        <f t="shared" si="12"/>
        <v>0</v>
      </c>
      <c r="G96" s="7">
        <f t="shared" si="12"/>
        <v>0</v>
      </c>
      <c r="H96" s="7">
        <f t="shared" si="12"/>
        <v>0</v>
      </c>
      <c r="I96" s="7">
        <f t="shared" si="12"/>
        <v>0</v>
      </c>
      <c r="J96" s="7">
        <f t="shared" si="12"/>
        <v>0</v>
      </c>
      <c r="K96" s="7"/>
      <c r="L96" s="7"/>
      <c r="M96" s="7"/>
      <c r="N96" s="7"/>
      <c r="O96" s="7"/>
      <c r="P96" s="7"/>
      <c r="Q96" s="7"/>
      <c r="R96" s="62"/>
      <c r="S96" s="7"/>
    </row>
    <row r="97" spans="1:24" s="2" customFormat="1" ht="39.9" customHeight="1" x14ac:dyDescent="0.4">
      <c r="A97" s="76"/>
      <c r="B97" s="77"/>
      <c r="C97" s="77"/>
      <c r="D97" s="77"/>
      <c r="E97" s="98" t="s">
        <v>107</v>
      </c>
      <c r="F97" s="98"/>
      <c r="G97" s="98"/>
      <c r="H97" s="98"/>
      <c r="I97" s="98"/>
      <c r="J97" s="80" t="e">
        <f>J96/(I96-H96)</f>
        <v>#DIV/0!</v>
      </c>
      <c r="K97" s="7"/>
      <c r="L97" s="7"/>
      <c r="M97" s="7"/>
      <c r="N97" s="7"/>
      <c r="O97" s="7"/>
      <c r="P97" s="7"/>
      <c r="Q97" s="7"/>
      <c r="R97" s="62"/>
      <c r="S97" s="7"/>
    </row>
    <row r="98" spans="1:24" s="2" customFormat="1" ht="39.9" customHeight="1" x14ac:dyDescent="0.4">
      <c r="A98" s="36" t="s">
        <v>108</v>
      </c>
      <c r="B98" s="37">
        <f>SUM(K98)/K100*100</f>
        <v>0</v>
      </c>
      <c r="C98" s="30"/>
      <c r="D98" s="30"/>
      <c r="E98" s="30"/>
      <c r="F98" s="30"/>
      <c r="G98" s="30"/>
      <c r="H98" s="29" t="s">
        <v>109</v>
      </c>
      <c r="I98" s="30"/>
      <c r="J98" s="30"/>
      <c r="K98" s="38">
        <f>SUM(L98:S98)</f>
        <v>0</v>
      </c>
      <c r="L98" s="28">
        <f t="shared" ref="L98:Q98" si="13">SUM(L64:L70)</f>
        <v>0</v>
      </c>
      <c r="M98" s="28">
        <f t="shared" si="13"/>
        <v>0</v>
      </c>
      <c r="N98" s="28">
        <f t="shared" si="13"/>
        <v>0</v>
      </c>
      <c r="O98" s="28">
        <f t="shared" si="13"/>
        <v>0</v>
      </c>
      <c r="P98" s="28">
        <f t="shared" si="13"/>
        <v>0</v>
      </c>
      <c r="Q98" s="28">
        <f t="shared" si="13"/>
        <v>0</v>
      </c>
      <c r="R98" s="63"/>
      <c r="S98" s="28"/>
    </row>
    <row r="99" spans="1:24" s="2" customFormat="1" ht="39.9" customHeight="1" x14ac:dyDescent="0.4">
      <c r="A99" s="36" t="s">
        <v>110</v>
      </c>
      <c r="B99" s="37">
        <f>SUM(K99)/K100*100</f>
        <v>100</v>
      </c>
      <c r="C99" s="30"/>
      <c r="D99" s="30"/>
      <c r="E99" s="30"/>
      <c r="F99" s="30"/>
      <c r="G99" s="30"/>
      <c r="H99" s="29" t="s">
        <v>111</v>
      </c>
      <c r="I99" s="30"/>
      <c r="J99" s="30"/>
      <c r="K99" s="38">
        <f>SUM(L99:S99)</f>
        <v>6</v>
      </c>
      <c r="L99" s="28">
        <v>6</v>
      </c>
      <c r="M99" s="28">
        <f t="shared" ref="M99:P99" si="14">SUM(M71:M95)</f>
        <v>0</v>
      </c>
      <c r="N99" s="28">
        <f t="shared" si="14"/>
        <v>0</v>
      </c>
      <c r="O99" s="28">
        <f t="shared" si="14"/>
        <v>0</v>
      </c>
      <c r="P99" s="28">
        <f t="shared" si="14"/>
        <v>0</v>
      </c>
      <c r="Q99" s="28">
        <f t="shared" ref="Q99" si="15">SUM(Q71:Q95)</f>
        <v>0</v>
      </c>
      <c r="R99" s="63"/>
      <c r="S99" s="28"/>
    </row>
    <row r="100" spans="1:24" s="2" customFormat="1" ht="39.9" customHeight="1" x14ac:dyDescent="0.4">
      <c r="A100" s="29"/>
      <c r="B100" s="30"/>
      <c r="C100" s="30"/>
      <c r="D100" s="30"/>
      <c r="E100" s="30"/>
      <c r="F100" s="30"/>
      <c r="G100" s="30"/>
      <c r="H100" s="29" t="s">
        <v>112</v>
      </c>
      <c r="I100" s="30"/>
      <c r="J100" s="30"/>
      <c r="K100" s="38">
        <f>SUM(L100:S100)</f>
        <v>6</v>
      </c>
      <c r="L100" s="28">
        <f>SUM(L98:L99)</f>
        <v>6</v>
      </c>
      <c r="M100" s="28">
        <f t="shared" ref="M100:P100" si="16">SUM(M98:M99)</f>
        <v>0</v>
      </c>
      <c r="N100" s="28">
        <f t="shared" si="16"/>
        <v>0</v>
      </c>
      <c r="O100" s="28">
        <f t="shared" si="16"/>
        <v>0</v>
      </c>
      <c r="P100" s="28">
        <f t="shared" si="16"/>
        <v>0</v>
      </c>
      <c r="Q100" s="28">
        <f t="shared" ref="Q100" si="17">SUM(Q98:Q99)</f>
        <v>0</v>
      </c>
      <c r="R100" s="63"/>
      <c r="S100" s="28"/>
    </row>
    <row r="101" spans="1:24" s="2" customFormat="1" ht="36" customHeight="1" x14ac:dyDescent="0.4">
      <c r="A101" s="93" t="s">
        <v>113</v>
      </c>
      <c r="B101" s="94"/>
      <c r="C101" s="94"/>
      <c r="D101" s="94"/>
      <c r="E101" s="94"/>
      <c r="F101" s="94"/>
      <c r="G101" s="94"/>
      <c r="H101" s="94"/>
      <c r="I101" s="33"/>
      <c r="J101" s="33"/>
      <c r="K101" s="31">
        <f>SUM(L101:S101)</f>
        <v>30</v>
      </c>
      <c r="L101" s="28">
        <v>5</v>
      </c>
      <c r="M101" s="28">
        <v>5</v>
      </c>
      <c r="N101" s="28">
        <v>5</v>
      </c>
      <c r="O101" s="28">
        <v>5</v>
      </c>
      <c r="P101" s="28">
        <v>5</v>
      </c>
      <c r="Q101" s="28">
        <v>5</v>
      </c>
      <c r="R101" s="63"/>
      <c r="S101" s="28"/>
    </row>
    <row r="102" spans="1:24" s="2" customFormat="1" ht="36" customHeight="1" x14ac:dyDescent="0.4">
      <c r="A102" s="93" t="s">
        <v>210</v>
      </c>
      <c r="B102" s="94"/>
      <c r="C102" s="94"/>
      <c r="D102" s="94"/>
      <c r="E102" s="94"/>
      <c r="F102" s="94"/>
      <c r="G102" s="94"/>
      <c r="H102" s="94"/>
      <c r="I102" s="33"/>
      <c r="J102" s="33"/>
      <c r="K102" s="31"/>
      <c r="L102" s="31">
        <f>SUM(L98)/L100*100</f>
        <v>0</v>
      </c>
      <c r="M102" s="31" t="e">
        <f t="shared" ref="M102:Q102" si="18">SUM(M98)/M100*100</f>
        <v>#DIV/0!</v>
      </c>
      <c r="N102" s="31" t="e">
        <f t="shared" si="18"/>
        <v>#DIV/0!</v>
      </c>
      <c r="O102" s="31" t="e">
        <f t="shared" si="18"/>
        <v>#DIV/0!</v>
      </c>
      <c r="P102" s="31" t="e">
        <f t="shared" si="18"/>
        <v>#DIV/0!</v>
      </c>
      <c r="Q102" s="31" t="e">
        <f t="shared" si="18"/>
        <v>#DIV/0!</v>
      </c>
      <c r="R102" s="63"/>
      <c r="S102" s="28"/>
    </row>
    <row r="103" spans="1:24" s="2" customFormat="1" ht="36" customHeight="1" x14ac:dyDescent="0.4">
      <c r="A103" s="93" t="s">
        <v>211</v>
      </c>
      <c r="B103" s="94"/>
      <c r="C103" s="94"/>
      <c r="D103" s="94"/>
      <c r="E103" s="94"/>
      <c r="F103" s="94"/>
      <c r="G103" s="94"/>
      <c r="H103" s="94"/>
      <c r="I103" s="33"/>
      <c r="J103" s="33"/>
      <c r="K103" s="31"/>
      <c r="L103" s="31">
        <f>SUM(L99)/L100*100</f>
        <v>100</v>
      </c>
      <c r="M103" s="31" t="e">
        <f t="shared" ref="M103:Q103" si="19">SUM(M99)/M100*100</f>
        <v>#DIV/0!</v>
      </c>
      <c r="N103" s="31" t="e">
        <f t="shared" si="19"/>
        <v>#DIV/0!</v>
      </c>
      <c r="O103" s="31" t="e">
        <f t="shared" si="19"/>
        <v>#DIV/0!</v>
      </c>
      <c r="P103" s="31" t="e">
        <f t="shared" si="19"/>
        <v>#DIV/0!</v>
      </c>
      <c r="Q103" s="31" t="e">
        <f t="shared" si="19"/>
        <v>#DIV/0!</v>
      </c>
      <c r="R103" s="63"/>
      <c r="S103" s="28"/>
    </row>
    <row r="104" spans="1:24" s="2" customFormat="1" ht="36" customHeight="1" x14ac:dyDescent="0.4">
      <c r="A104" s="93"/>
      <c r="B104" s="94"/>
      <c r="C104" s="94"/>
      <c r="D104" s="94"/>
      <c r="E104" s="94"/>
      <c r="F104" s="94"/>
      <c r="G104" s="94"/>
      <c r="H104" s="94"/>
      <c r="I104" s="33"/>
      <c r="J104" s="33"/>
      <c r="K104" s="31"/>
      <c r="L104" s="28"/>
      <c r="M104" s="28"/>
      <c r="N104" s="28"/>
      <c r="O104" s="28"/>
      <c r="P104" s="28"/>
      <c r="Q104" s="28"/>
      <c r="R104" s="63"/>
      <c r="S104" s="28"/>
    </row>
    <row r="105" spans="1:24" s="2" customFormat="1" ht="36" customHeight="1" x14ac:dyDescent="0.4">
      <c r="A105" s="93" t="s">
        <v>212</v>
      </c>
      <c r="B105" s="94"/>
      <c r="C105" s="94"/>
      <c r="D105" s="94"/>
      <c r="E105" s="94"/>
      <c r="F105" s="94"/>
      <c r="G105" s="94"/>
      <c r="H105" s="94"/>
      <c r="I105" s="33"/>
      <c r="J105" s="33"/>
      <c r="K105" s="31"/>
      <c r="L105" s="31" t="e">
        <f>SUM(L49+L102)/2</f>
        <v>#DIV/0!</v>
      </c>
      <c r="M105" s="31" t="e">
        <f t="shared" ref="M105:Q105" si="20">SUM(M49+M102)/2</f>
        <v>#DIV/0!</v>
      </c>
      <c r="N105" s="31" t="e">
        <f t="shared" si="20"/>
        <v>#DIV/0!</v>
      </c>
      <c r="O105" s="31" t="e">
        <f t="shared" si="20"/>
        <v>#DIV/0!</v>
      </c>
      <c r="P105" s="31" t="e">
        <f t="shared" si="20"/>
        <v>#DIV/0!</v>
      </c>
      <c r="Q105" s="31" t="e">
        <f t="shared" si="20"/>
        <v>#DIV/0!</v>
      </c>
      <c r="R105" s="63"/>
      <c r="S105" s="28"/>
    </row>
    <row r="106" spans="1:24" s="2" customFormat="1" ht="36" customHeight="1" x14ac:dyDescent="0.4">
      <c r="A106" s="93" t="s">
        <v>213</v>
      </c>
      <c r="B106" s="94"/>
      <c r="C106" s="94"/>
      <c r="D106" s="94"/>
      <c r="E106" s="94"/>
      <c r="F106" s="94"/>
      <c r="G106" s="94"/>
      <c r="H106" s="94"/>
      <c r="I106" s="33"/>
      <c r="J106" s="33"/>
      <c r="K106" s="31"/>
      <c r="L106" s="31" t="e">
        <f>SUM(L50+L103)/2</f>
        <v>#DIV/0!</v>
      </c>
      <c r="M106" s="31" t="e">
        <f t="shared" ref="M106:Q106" si="21">SUM(M50+M103)/2</f>
        <v>#DIV/0!</v>
      </c>
      <c r="N106" s="31" t="e">
        <f t="shared" si="21"/>
        <v>#DIV/0!</v>
      </c>
      <c r="O106" s="31" t="e">
        <f t="shared" si="21"/>
        <v>#DIV/0!</v>
      </c>
      <c r="P106" s="31" t="e">
        <f t="shared" si="21"/>
        <v>#DIV/0!</v>
      </c>
      <c r="Q106" s="31" t="e">
        <f t="shared" si="21"/>
        <v>#DIV/0!</v>
      </c>
      <c r="R106" s="63"/>
      <c r="S106" s="28"/>
    </row>
    <row r="107" spans="1:24" s="2" customFormat="1" ht="36" customHeight="1" x14ac:dyDescent="0.4">
      <c r="B107" s="4"/>
      <c r="C107" s="4"/>
      <c r="D107" s="4"/>
      <c r="E107" s="4"/>
      <c r="F107" s="4"/>
      <c r="G107" s="4"/>
      <c r="H107" s="4"/>
      <c r="I107" s="4"/>
      <c r="J107" s="4"/>
      <c r="K107" s="5"/>
      <c r="L107" s="5"/>
      <c r="M107" s="5"/>
      <c r="N107" s="5"/>
      <c r="O107" s="5"/>
      <c r="P107" s="5"/>
      <c r="Q107" s="6"/>
      <c r="R107" s="64"/>
      <c r="S107" s="6"/>
    </row>
    <row r="108" spans="1:24" ht="36" customHeight="1" x14ac:dyDescent="0.3">
      <c r="A108" s="102" t="s">
        <v>116</v>
      </c>
      <c r="B108" s="102"/>
      <c r="C108" s="102"/>
      <c r="D108" s="102"/>
      <c r="E108" s="102"/>
      <c r="F108" s="102"/>
      <c r="G108" s="102"/>
      <c r="H108" s="102"/>
      <c r="I108" s="102"/>
      <c r="J108" s="102"/>
      <c r="K108" s="102"/>
      <c r="L108" s="102"/>
      <c r="M108" s="102"/>
      <c r="N108" s="102"/>
      <c r="O108" s="102"/>
      <c r="P108" s="102"/>
      <c r="Q108" s="102"/>
      <c r="R108" s="102"/>
      <c r="S108" s="102"/>
    </row>
    <row r="109" spans="1:24" ht="36" customHeight="1" x14ac:dyDescent="0.3">
      <c r="A109" s="102" t="s">
        <v>117</v>
      </c>
      <c r="B109" s="102"/>
      <c r="C109" s="102"/>
      <c r="D109" s="102"/>
      <c r="E109" s="102"/>
      <c r="F109" s="102"/>
      <c r="G109" s="102"/>
      <c r="H109" s="102"/>
      <c r="I109" s="102"/>
      <c r="J109" s="102"/>
      <c r="K109" s="102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</row>
  </sheetData>
  <autoFilter ref="A63:X103" xr:uid="{00000000-0009-0000-0000-000000000000}"/>
  <mergeCells count="53">
    <mergeCell ref="A43:D43"/>
    <mergeCell ref="A109:X109"/>
    <mergeCell ref="D62:D63"/>
    <mergeCell ref="A59:I59"/>
    <mergeCell ref="K9:K10"/>
    <mergeCell ref="A108:S108"/>
    <mergeCell ref="K62:K63"/>
    <mergeCell ref="L62:L63"/>
    <mergeCell ref="M62:M63"/>
    <mergeCell ref="N62:N63"/>
    <mergeCell ref="O62:O63"/>
    <mergeCell ref="P62:P63"/>
    <mergeCell ref="A62:A63"/>
    <mergeCell ref="B62:B63"/>
    <mergeCell ref="C62:C63"/>
    <mergeCell ref="E62:J62"/>
    <mergeCell ref="A8:I8"/>
    <mergeCell ref="A3:I3"/>
    <mergeCell ref="A4:I4"/>
    <mergeCell ref="A7:I7"/>
    <mergeCell ref="A5:I5"/>
    <mergeCell ref="A6:I6"/>
    <mergeCell ref="E44:I44"/>
    <mergeCell ref="Q9:Q10"/>
    <mergeCell ref="Q62:Q63"/>
    <mergeCell ref="O9:O10"/>
    <mergeCell ref="P9:P10"/>
    <mergeCell ref="A61:I61"/>
    <mergeCell ref="A9:A10"/>
    <mergeCell ref="B9:B10"/>
    <mergeCell ref="C9:C10"/>
    <mergeCell ref="A60:I60"/>
    <mergeCell ref="D9:D10"/>
    <mergeCell ref="E9:J9"/>
    <mergeCell ref="L9:L10"/>
    <mergeCell ref="M9:M10"/>
    <mergeCell ref="N9:N10"/>
    <mergeCell ref="A52:S52"/>
    <mergeCell ref="A104:H104"/>
    <mergeCell ref="A105:H105"/>
    <mergeCell ref="A106:H106"/>
    <mergeCell ref="A48:H48"/>
    <mergeCell ref="A49:H49"/>
    <mergeCell ref="A50:H50"/>
    <mergeCell ref="A102:H102"/>
    <mergeCell ref="A103:H103"/>
    <mergeCell ref="A101:H101"/>
    <mergeCell ref="A96:D96"/>
    <mergeCell ref="E97:I97"/>
    <mergeCell ref="A58:I58"/>
    <mergeCell ref="A56:I56"/>
    <mergeCell ref="A57:I57"/>
    <mergeCell ref="A53:X53"/>
  </mergeCells>
  <conditionalFormatting sqref="R11:R42 R64:R95">
    <cfRule type="cellIs" dxfId="4" priority="4" operator="notEqual">
      <formula>$B11</formula>
    </cfRule>
  </conditionalFormatting>
  <conditionalFormatting sqref="S11:S42">
    <cfRule type="cellIs" dxfId="3" priority="3" operator="notEqual">
      <formula>$C11</formula>
    </cfRule>
  </conditionalFormatting>
  <conditionalFormatting sqref="S64:S95">
    <cfRule type="cellIs" dxfId="2" priority="1" operator="notEqual">
      <formula>$C64</formula>
    </cfRule>
  </conditionalFormatting>
  <printOptions horizontalCentered="1"/>
  <pageMargins left="0.23622047244094491" right="0.23622047244094491" top="0.19685039370078741" bottom="0.19685039370078741" header="0.19685039370078741" footer="0.19685039370078741"/>
  <pageSetup paperSize="8" scale="28" fitToHeight="2" orientation="landscape" r:id="rId1"/>
  <headerFooter>
    <oddFooter>&amp;L&amp;Z&amp;F&amp;R&amp;D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Feuil1!$A$1:$A$2</xm:f>
          </x14:formula1>
          <xm:sqref>D64:D95 D11:D42 F64:F70 G64:G69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104"/>
  <sheetViews>
    <sheetView tabSelected="1" topLeftCell="A8" zoomScale="40" zoomScaleNormal="40" zoomScalePageLayoutView="40" workbookViewId="0">
      <selection activeCell="H26" sqref="H26"/>
    </sheetView>
  </sheetViews>
  <sheetFormatPr baseColWidth="10" defaultColWidth="0.109375" defaultRowHeight="14.4" x14ac:dyDescent="0.3"/>
  <cols>
    <col min="1" max="1" width="30.33203125" customWidth="1"/>
    <col min="2" max="2" width="153" customWidth="1"/>
    <col min="3" max="4" width="32.33203125" customWidth="1"/>
    <col min="5" max="7" width="14.88671875" customWidth="1"/>
    <col min="8" max="8" width="19" customWidth="1"/>
    <col min="9" max="9" width="14.88671875" customWidth="1"/>
    <col min="10" max="10" width="34.6640625" customWidth="1"/>
    <col min="11" max="13" width="14.88671875" customWidth="1"/>
    <col min="14" max="14" width="19" customWidth="1"/>
    <col min="15" max="15" width="14.88671875" customWidth="1"/>
    <col min="16" max="16" width="19.6640625" customWidth="1"/>
    <col min="17" max="21" width="30.6640625" customWidth="1"/>
    <col min="22" max="22" width="30.6640625" style="1" customWidth="1"/>
    <col min="23" max="23" width="65.6640625" style="56" hidden="1" customWidth="1"/>
    <col min="24" max="24" width="30.6640625" style="1" hidden="1" customWidth="1"/>
  </cols>
  <sheetData>
    <row r="1" spans="1:24" ht="108.75" customHeight="1" x14ac:dyDescent="0.3">
      <c r="P1" s="42"/>
      <c r="Q1" s="42"/>
      <c r="R1" s="42"/>
      <c r="S1" s="34"/>
      <c r="T1" s="34"/>
      <c r="U1" s="34"/>
      <c r="V1" s="34"/>
      <c r="W1" s="53"/>
      <c r="X1" s="34"/>
    </row>
    <row r="2" spans="1:24" ht="138" customHeight="1" x14ac:dyDescent="0.3">
      <c r="P2" s="41"/>
      <c r="Q2" s="41"/>
      <c r="R2" s="41"/>
      <c r="S2" s="35"/>
      <c r="T2" s="35"/>
      <c r="U2" s="35"/>
      <c r="V2" s="35"/>
      <c r="W2" s="54"/>
      <c r="X2" s="35"/>
    </row>
    <row r="3" spans="1:24" ht="110.25" customHeight="1" x14ac:dyDescent="0.3">
      <c r="A3" s="100" t="s">
        <v>214</v>
      </c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40"/>
      <c r="Q3" s="40"/>
      <c r="R3" s="40"/>
      <c r="S3" s="35"/>
      <c r="U3" s="39"/>
      <c r="V3" s="39"/>
      <c r="W3" s="55"/>
      <c r="X3" s="39"/>
    </row>
    <row r="4" spans="1:24" ht="49.5" customHeight="1" x14ac:dyDescent="0.3">
      <c r="A4" s="101" t="s">
        <v>215</v>
      </c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3"/>
      <c r="Q4" s="3"/>
      <c r="R4" s="3"/>
      <c r="S4" s="3"/>
      <c r="T4" s="3"/>
      <c r="U4" s="3"/>
    </row>
    <row r="5" spans="1:24" ht="80.25" customHeight="1" x14ac:dyDescent="0.3">
      <c r="P5" s="8"/>
      <c r="Q5" s="9" t="s">
        <v>216</v>
      </c>
      <c r="R5" s="9" t="s">
        <v>217</v>
      </c>
      <c r="S5" s="9" t="s">
        <v>218</v>
      </c>
      <c r="T5" s="9" t="s">
        <v>219</v>
      </c>
      <c r="U5" s="9" t="s">
        <v>220</v>
      </c>
      <c r="V5" s="9" t="s">
        <v>221</v>
      </c>
      <c r="W5" s="57"/>
      <c r="X5" s="48"/>
    </row>
    <row r="6" spans="1:24" s="2" customFormat="1" ht="69.75" customHeight="1" x14ac:dyDescent="0.4">
      <c r="A6" s="112" t="s">
        <v>222</v>
      </c>
      <c r="B6" s="112"/>
      <c r="C6" s="112"/>
      <c r="D6" s="112"/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20"/>
      <c r="P6" s="10" t="s">
        <v>9</v>
      </c>
      <c r="Q6" s="71" t="s">
        <v>223</v>
      </c>
      <c r="R6" s="72" t="s">
        <v>224</v>
      </c>
      <c r="S6" s="72" t="s">
        <v>225</v>
      </c>
      <c r="T6" s="72" t="s">
        <v>226</v>
      </c>
      <c r="U6" s="72" t="s">
        <v>227</v>
      </c>
      <c r="V6" s="72" t="s">
        <v>228</v>
      </c>
      <c r="W6" s="58"/>
      <c r="X6" s="49"/>
    </row>
    <row r="7" spans="1:24" s="2" customFormat="1" ht="186.75" customHeight="1" x14ac:dyDescent="0.4">
      <c r="A7" s="108" t="s">
        <v>16</v>
      </c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19"/>
      <c r="P7" s="10" t="s">
        <v>17</v>
      </c>
      <c r="Q7" s="69" t="s">
        <v>229</v>
      </c>
      <c r="R7" s="70" t="s">
        <v>230</v>
      </c>
      <c r="S7" s="70" t="s">
        <v>231</v>
      </c>
      <c r="T7" s="70" t="s">
        <v>232</v>
      </c>
      <c r="U7" s="70" t="s">
        <v>233</v>
      </c>
      <c r="V7" s="70" t="s">
        <v>234</v>
      </c>
      <c r="W7" s="59"/>
      <c r="X7" s="50"/>
    </row>
    <row r="8" spans="1:24" s="2" customFormat="1" ht="90" customHeight="1" x14ac:dyDescent="0.4">
      <c r="A8" s="105"/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18"/>
      <c r="P8" s="10" t="s">
        <v>24</v>
      </c>
      <c r="Q8" s="69" t="s">
        <v>235</v>
      </c>
      <c r="R8" s="69" t="s">
        <v>235</v>
      </c>
      <c r="S8" s="69" t="s">
        <v>235</v>
      </c>
      <c r="T8" s="69" t="s">
        <v>235</v>
      </c>
      <c r="U8" s="69" t="s">
        <v>235</v>
      </c>
      <c r="V8" s="69" t="s">
        <v>235</v>
      </c>
      <c r="W8" s="59"/>
      <c r="X8" s="50"/>
    </row>
    <row r="9" spans="1:24" s="20" customFormat="1" ht="81" customHeight="1" x14ac:dyDescent="0.4">
      <c r="A9" s="106" t="s">
        <v>26</v>
      </c>
      <c r="B9" s="106" t="s">
        <v>27</v>
      </c>
      <c r="C9" s="103" t="s">
        <v>28</v>
      </c>
      <c r="D9" s="103" t="s">
        <v>29</v>
      </c>
      <c r="E9" s="109" t="s">
        <v>30</v>
      </c>
      <c r="F9" s="110"/>
      <c r="G9" s="110"/>
      <c r="H9" s="110"/>
      <c r="I9" s="110"/>
      <c r="J9" s="111"/>
      <c r="K9" s="109" t="s">
        <v>236</v>
      </c>
      <c r="L9" s="110"/>
      <c r="M9" s="110"/>
      <c r="N9" s="110"/>
      <c r="O9" s="111"/>
      <c r="P9" s="113"/>
      <c r="Q9" s="103" t="s">
        <v>237</v>
      </c>
      <c r="R9" s="103" t="s">
        <v>238</v>
      </c>
      <c r="S9" s="103" t="s">
        <v>239</v>
      </c>
      <c r="T9" s="103" t="s">
        <v>240</v>
      </c>
      <c r="U9" s="103" t="s">
        <v>241</v>
      </c>
      <c r="V9" s="103" t="s">
        <v>242</v>
      </c>
      <c r="W9" s="60"/>
      <c r="X9" s="51"/>
    </row>
    <row r="10" spans="1:24" s="20" customFormat="1" ht="96" customHeight="1" x14ac:dyDescent="0.4">
      <c r="A10" s="107"/>
      <c r="B10" s="107"/>
      <c r="C10" s="104"/>
      <c r="D10" s="104"/>
      <c r="E10" s="21" t="s">
        <v>37</v>
      </c>
      <c r="F10" s="21" t="s">
        <v>38</v>
      </c>
      <c r="G10" s="21" t="s">
        <v>39</v>
      </c>
      <c r="H10" s="21" t="s">
        <v>143</v>
      </c>
      <c r="I10" s="21" t="s">
        <v>41</v>
      </c>
      <c r="J10" s="21" t="s">
        <v>42</v>
      </c>
      <c r="K10" s="21" t="s">
        <v>37</v>
      </c>
      <c r="L10" s="21" t="s">
        <v>38</v>
      </c>
      <c r="M10" s="21" t="s">
        <v>39</v>
      </c>
      <c r="N10" s="21" t="s">
        <v>143</v>
      </c>
      <c r="O10" s="21" t="s">
        <v>41</v>
      </c>
      <c r="P10" s="114"/>
      <c r="Q10" s="104"/>
      <c r="R10" s="104"/>
      <c r="S10" s="104"/>
      <c r="T10" s="104"/>
      <c r="U10" s="104"/>
      <c r="V10" s="104"/>
      <c r="W10" s="61"/>
      <c r="X10" s="52"/>
    </row>
    <row r="11" spans="1:24" s="2" customFormat="1" ht="39.9" customHeight="1" x14ac:dyDescent="0.4">
      <c r="A11" s="11" t="s">
        <v>43</v>
      </c>
      <c r="B11" s="22" t="s">
        <v>243</v>
      </c>
      <c r="C11" s="12" t="s">
        <v>244</v>
      </c>
      <c r="D11" s="12" t="s">
        <v>46</v>
      </c>
      <c r="E11" s="11">
        <v>5</v>
      </c>
      <c r="F11" s="11">
        <v>25</v>
      </c>
      <c r="G11" s="11">
        <v>1</v>
      </c>
      <c r="H11" s="11">
        <v>4</v>
      </c>
      <c r="I11" s="13">
        <f>SUM(E11:H11)</f>
        <v>35</v>
      </c>
      <c r="J11" s="13"/>
      <c r="K11" s="11"/>
      <c r="L11" s="11"/>
      <c r="M11" s="11"/>
      <c r="N11" s="11"/>
      <c r="O11" s="13">
        <f>SUM(K11:N11)</f>
        <v>0</v>
      </c>
      <c r="P11" s="11"/>
      <c r="Q11" s="25"/>
      <c r="R11" s="25"/>
      <c r="S11" s="25"/>
      <c r="T11" s="25"/>
      <c r="U11" s="25"/>
      <c r="V11" s="25"/>
      <c r="W11" s="65" t="s">
        <v>243</v>
      </c>
      <c r="X11" s="25" t="s">
        <v>245</v>
      </c>
    </row>
    <row r="12" spans="1:24" s="2" customFormat="1" ht="39.9" customHeight="1" x14ac:dyDescent="0.4">
      <c r="A12" s="14" t="s">
        <v>43</v>
      </c>
      <c r="B12" s="23" t="s">
        <v>63</v>
      </c>
      <c r="C12" s="15" t="s">
        <v>246</v>
      </c>
      <c r="D12" s="15" t="s">
        <v>46</v>
      </c>
      <c r="E12" s="14">
        <v>10</v>
      </c>
      <c r="F12" s="14">
        <v>20</v>
      </c>
      <c r="G12" s="14">
        <v>2</v>
      </c>
      <c r="H12" s="14">
        <v>0</v>
      </c>
      <c r="I12" s="16">
        <f>SUM(E12:H12)</f>
        <v>32</v>
      </c>
      <c r="J12" s="16"/>
      <c r="K12" s="14"/>
      <c r="L12" s="14"/>
      <c r="M12" s="14"/>
      <c r="N12" s="14"/>
      <c r="O12" s="16">
        <f t="shared" ref="O12:O37" si="0">SUM(K12:N12)</f>
        <v>0</v>
      </c>
      <c r="P12" s="14"/>
      <c r="Q12" s="26"/>
      <c r="R12" s="26"/>
      <c r="S12" s="26"/>
      <c r="T12" s="26"/>
      <c r="U12" s="26"/>
      <c r="V12" s="26"/>
      <c r="W12" s="66" t="s">
        <v>63</v>
      </c>
      <c r="X12" s="26" t="s">
        <v>247</v>
      </c>
    </row>
    <row r="13" spans="1:24" s="2" customFormat="1" ht="39.9" customHeight="1" x14ac:dyDescent="0.4">
      <c r="A13" s="17" t="s">
        <v>43</v>
      </c>
      <c r="B13" s="24" t="s">
        <v>248</v>
      </c>
      <c r="C13" s="18" t="s">
        <v>249</v>
      </c>
      <c r="D13" s="18" t="s">
        <v>46</v>
      </c>
      <c r="E13" s="17">
        <v>2</v>
      </c>
      <c r="F13" s="17">
        <v>20</v>
      </c>
      <c r="G13" s="17">
        <v>2</v>
      </c>
      <c r="H13" s="17">
        <v>0</v>
      </c>
      <c r="I13" s="19">
        <f>SUM(E13:H13)</f>
        <v>24</v>
      </c>
      <c r="J13" s="19"/>
      <c r="K13" s="17"/>
      <c r="L13" s="17"/>
      <c r="M13" s="17"/>
      <c r="N13" s="17"/>
      <c r="O13" s="19">
        <f t="shared" si="0"/>
        <v>0</v>
      </c>
      <c r="P13" s="17"/>
      <c r="Q13" s="27"/>
      <c r="R13" s="27"/>
      <c r="S13" s="27"/>
      <c r="T13" s="27"/>
      <c r="U13" s="27"/>
      <c r="V13" s="27"/>
      <c r="W13" s="67" t="s">
        <v>248</v>
      </c>
      <c r="X13" s="27" t="s">
        <v>250</v>
      </c>
    </row>
    <row r="14" spans="1:24" s="2" customFormat="1" ht="39.9" customHeight="1" x14ac:dyDescent="0.4">
      <c r="A14" s="17" t="s">
        <v>43</v>
      </c>
      <c r="B14" s="24" t="s">
        <v>251</v>
      </c>
      <c r="C14" s="18" t="s">
        <v>252</v>
      </c>
      <c r="D14" s="18" t="s">
        <v>46</v>
      </c>
      <c r="E14" s="17">
        <v>3</v>
      </c>
      <c r="F14" s="17">
        <v>2</v>
      </c>
      <c r="G14" s="17">
        <v>0</v>
      </c>
      <c r="H14" s="17">
        <v>0</v>
      </c>
      <c r="I14" s="19">
        <f t="shared" ref="I14:I37" si="1">SUM(E14:H14)</f>
        <v>5</v>
      </c>
      <c r="J14" s="19"/>
      <c r="K14" s="17"/>
      <c r="L14" s="17"/>
      <c r="M14" s="17"/>
      <c r="N14" s="17"/>
      <c r="O14" s="19">
        <f t="shared" si="0"/>
        <v>0</v>
      </c>
      <c r="P14" s="17"/>
      <c r="Q14" s="27"/>
      <c r="R14" s="27"/>
      <c r="S14" s="27"/>
      <c r="T14" s="27"/>
      <c r="U14" s="27"/>
      <c r="V14" s="27"/>
      <c r="W14" s="67" t="s">
        <v>251</v>
      </c>
      <c r="X14" s="27" t="s">
        <v>253</v>
      </c>
    </row>
    <row r="15" spans="1:24" s="2" customFormat="1" ht="39.9" customHeight="1" x14ac:dyDescent="0.4">
      <c r="A15" s="17" t="s">
        <v>43</v>
      </c>
      <c r="B15" s="24" t="s">
        <v>254</v>
      </c>
      <c r="C15" s="18" t="s">
        <v>255</v>
      </c>
      <c r="D15" s="18" t="s">
        <v>46</v>
      </c>
      <c r="E15" s="17">
        <v>7</v>
      </c>
      <c r="F15" s="17">
        <v>30</v>
      </c>
      <c r="G15" s="17">
        <v>0</v>
      </c>
      <c r="H15" s="17">
        <v>0</v>
      </c>
      <c r="I15" s="19">
        <f t="shared" si="1"/>
        <v>37</v>
      </c>
      <c r="J15" s="19"/>
      <c r="K15" s="17"/>
      <c r="L15" s="17"/>
      <c r="M15" s="17"/>
      <c r="N15" s="17"/>
      <c r="O15" s="19">
        <f t="shared" si="0"/>
        <v>0</v>
      </c>
      <c r="P15" s="17"/>
      <c r="Q15" s="27"/>
      <c r="R15" s="27"/>
      <c r="S15" s="27"/>
      <c r="T15" s="27"/>
      <c r="U15" s="27"/>
      <c r="V15" s="27"/>
      <c r="W15" s="67" t="s">
        <v>254</v>
      </c>
      <c r="X15" s="27" t="s">
        <v>256</v>
      </c>
    </row>
    <row r="16" spans="1:24" s="2" customFormat="1" ht="39.9" customHeight="1" x14ac:dyDescent="0.4">
      <c r="A16" s="17" t="s">
        <v>43</v>
      </c>
      <c r="B16" s="24" t="s">
        <v>257</v>
      </c>
      <c r="C16" s="18" t="s">
        <v>258</v>
      </c>
      <c r="D16" s="18" t="s">
        <v>46</v>
      </c>
      <c r="E16" s="17">
        <v>8</v>
      </c>
      <c r="F16" s="17">
        <v>45</v>
      </c>
      <c r="G16" s="17">
        <v>212</v>
      </c>
      <c r="H16" s="17">
        <v>0</v>
      </c>
      <c r="I16" s="19">
        <f t="shared" si="1"/>
        <v>265</v>
      </c>
      <c r="J16" s="19"/>
      <c r="K16" s="17"/>
      <c r="L16" s="17"/>
      <c r="M16" s="17"/>
      <c r="N16" s="17"/>
      <c r="O16" s="19">
        <f t="shared" si="0"/>
        <v>0</v>
      </c>
      <c r="P16" s="17"/>
      <c r="Q16" s="27"/>
      <c r="R16" s="27"/>
      <c r="S16" s="27"/>
      <c r="T16" s="27"/>
      <c r="U16" s="27"/>
      <c r="V16" s="27"/>
      <c r="W16" s="67" t="s">
        <v>257</v>
      </c>
      <c r="X16" s="27" t="s">
        <v>259</v>
      </c>
    </row>
    <row r="17" spans="1:24" s="2" customFormat="1" ht="39.9" customHeight="1" x14ac:dyDescent="0.4">
      <c r="A17" s="17" t="s">
        <v>43</v>
      </c>
      <c r="B17" s="24" t="s">
        <v>260</v>
      </c>
      <c r="C17" s="18" t="s">
        <v>261</v>
      </c>
      <c r="D17" s="18" t="s">
        <v>46</v>
      </c>
      <c r="E17" s="17">
        <v>9</v>
      </c>
      <c r="F17" s="17">
        <v>8</v>
      </c>
      <c r="G17" s="17">
        <v>2</v>
      </c>
      <c r="H17" s="17">
        <v>0</v>
      </c>
      <c r="I17" s="19">
        <f t="shared" si="1"/>
        <v>19</v>
      </c>
      <c r="J17" s="19"/>
      <c r="K17" s="17"/>
      <c r="L17" s="17"/>
      <c r="M17" s="17"/>
      <c r="N17" s="17"/>
      <c r="O17" s="19">
        <f t="shared" si="0"/>
        <v>0</v>
      </c>
      <c r="P17" s="17"/>
      <c r="Q17" s="27"/>
      <c r="R17" s="27"/>
      <c r="S17" s="27"/>
      <c r="T17" s="27"/>
      <c r="U17" s="27"/>
      <c r="V17" s="27"/>
      <c r="W17" s="67" t="s">
        <v>260</v>
      </c>
      <c r="X17" s="27" t="s">
        <v>262</v>
      </c>
    </row>
    <row r="18" spans="1:24" s="2" customFormat="1" ht="39.9" customHeight="1" x14ac:dyDescent="0.4">
      <c r="A18" s="17" t="s">
        <v>43</v>
      </c>
      <c r="B18" s="24" t="s">
        <v>263</v>
      </c>
      <c r="C18" s="18" t="s">
        <v>264</v>
      </c>
      <c r="D18" s="18" t="s">
        <v>46</v>
      </c>
      <c r="E18" s="17">
        <v>8</v>
      </c>
      <c r="F18" s="17">
        <v>9</v>
      </c>
      <c r="G18" s="17">
        <v>21</v>
      </c>
      <c r="H18" s="17">
        <v>0</v>
      </c>
      <c r="I18" s="19">
        <f t="shared" si="1"/>
        <v>38</v>
      </c>
      <c r="J18" s="19"/>
      <c r="K18" s="17"/>
      <c r="L18" s="17"/>
      <c r="M18" s="17"/>
      <c r="N18" s="17"/>
      <c r="O18" s="19">
        <f t="shared" si="0"/>
        <v>0</v>
      </c>
      <c r="P18" s="17"/>
      <c r="Q18" s="27"/>
      <c r="R18" s="27"/>
      <c r="S18" s="27"/>
      <c r="T18" s="27"/>
      <c r="U18" s="27"/>
      <c r="V18" s="27"/>
      <c r="W18" s="67" t="s">
        <v>263</v>
      </c>
      <c r="X18" s="27" t="s">
        <v>265</v>
      </c>
    </row>
    <row r="19" spans="1:24" s="2" customFormat="1" ht="39.9" customHeight="1" x14ac:dyDescent="0.4">
      <c r="A19" s="17" t="s">
        <v>43</v>
      </c>
      <c r="B19" s="24" t="s">
        <v>266</v>
      </c>
      <c r="C19" s="18" t="s">
        <v>267</v>
      </c>
      <c r="D19" s="18" t="s">
        <v>46</v>
      </c>
      <c r="E19" s="17">
        <v>2</v>
      </c>
      <c r="F19" s="17">
        <v>4</v>
      </c>
      <c r="G19" s="17">
        <v>24</v>
      </c>
      <c r="H19" s="17">
        <v>0</v>
      </c>
      <c r="I19" s="19">
        <f t="shared" si="1"/>
        <v>30</v>
      </c>
      <c r="J19" s="19"/>
      <c r="K19" s="17"/>
      <c r="L19" s="17"/>
      <c r="M19" s="17"/>
      <c r="N19" s="17"/>
      <c r="O19" s="19">
        <f t="shared" si="0"/>
        <v>0</v>
      </c>
      <c r="P19" s="17"/>
      <c r="Q19" s="27"/>
      <c r="R19" s="27"/>
      <c r="S19" s="27"/>
      <c r="T19" s="27"/>
      <c r="U19" s="27"/>
      <c r="V19" s="27"/>
      <c r="W19" s="67" t="s">
        <v>266</v>
      </c>
      <c r="X19" s="27" t="s">
        <v>268</v>
      </c>
    </row>
    <row r="20" spans="1:24" s="2" customFormat="1" ht="39.9" customHeight="1" x14ac:dyDescent="0.4">
      <c r="A20" s="17" t="s">
        <v>43</v>
      </c>
      <c r="B20" s="24" t="s">
        <v>269</v>
      </c>
      <c r="C20" s="18" t="s">
        <v>270</v>
      </c>
      <c r="D20" s="18" t="s">
        <v>46</v>
      </c>
      <c r="E20" s="17">
        <v>4</v>
      </c>
      <c r="F20" s="17">
        <v>20</v>
      </c>
      <c r="G20" s="17">
        <v>42</v>
      </c>
      <c r="H20" s="17">
        <v>0</v>
      </c>
      <c r="I20" s="19">
        <f t="shared" si="1"/>
        <v>66</v>
      </c>
      <c r="J20" s="19"/>
      <c r="K20" s="17"/>
      <c r="L20" s="17"/>
      <c r="M20" s="17"/>
      <c r="N20" s="17"/>
      <c r="O20" s="19">
        <f t="shared" si="0"/>
        <v>0</v>
      </c>
      <c r="P20" s="17"/>
      <c r="Q20" s="27"/>
      <c r="R20" s="27"/>
      <c r="S20" s="27"/>
      <c r="T20" s="27"/>
      <c r="U20" s="27"/>
      <c r="V20" s="27"/>
      <c r="W20" s="67" t="s">
        <v>269</v>
      </c>
      <c r="X20" s="27" t="s">
        <v>271</v>
      </c>
    </row>
    <row r="21" spans="1:24" s="2" customFormat="1" ht="39.9" customHeight="1" x14ac:dyDescent="0.4">
      <c r="A21" s="17" t="s">
        <v>43</v>
      </c>
      <c r="B21" s="24" t="s">
        <v>272</v>
      </c>
      <c r="C21" s="18" t="s">
        <v>273</v>
      </c>
      <c r="D21" s="18" t="s">
        <v>46</v>
      </c>
      <c r="E21" s="17">
        <v>5</v>
      </c>
      <c r="F21" s="17">
        <v>10</v>
      </c>
      <c r="G21" s="17">
        <v>24</v>
      </c>
      <c r="H21" s="17">
        <v>0</v>
      </c>
      <c r="I21" s="19">
        <f t="shared" si="1"/>
        <v>39</v>
      </c>
      <c r="J21" s="19"/>
      <c r="K21" s="17"/>
      <c r="L21" s="17"/>
      <c r="M21" s="17"/>
      <c r="N21" s="17"/>
      <c r="O21" s="19">
        <f t="shared" si="0"/>
        <v>0</v>
      </c>
      <c r="P21" s="17"/>
      <c r="Q21" s="27"/>
      <c r="R21" s="27"/>
      <c r="S21" s="27"/>
      <c r="T21" s="27"/>
      <c r="U21" s="27"/>
      <c r="V21" s="27"/>
      <c r="W21" s="67" t="s">
        <v>272</v>
      </c>
      <c r="X21" s="27" t="s">
        <v>274</v>
      </c>
    </row>
    <row r="22" spans="1:24" s="2" customFormat="1" ht="39.9" customHeight="1" x14ac:dyDescent="0.4">
      <c r="A22" s="17" t="s">
        <v>43</v>
      </c>
      <c r="B22" s="24" t="s">
        <v>275</v>
      </c>
      <c r="C22" s="18" t="s">
        <v>276</v>
      </c>
      <c r="D22" s="18" t="s">
        <v>46</v>
      </c>
      <c r="E22" s="17">
        <v>10</v>
      </c>
      <c r="F22" s="17">
        <v>11</v>
      </c>
      <c r="G22" s="17">
        <v>104</v>
      </c>
      <c r="H22" s="17">
        <v>0</v>
      </c>
      <c r="I22" s="19">
        <f t="shared" si="1"/>
        <v>125</v>
      </c>
      <c r="J22" s="19"/>
      <c r="K22" s="17"/>
      <c r="L22" s="17"/>
      <c r="M22" s="17"/>
      <c r="N22" s="17"/>
      <c r="O22" s="19">
        <f t="shared" si="0"/>
        <v>0</v>
      </c>
      <c r="P22" s="17"/>
      <c r="Q22" s="27"/>
      <c r="R22" s="27"/>
      <c r="S22" s="27"/>
      <c r="T22" s="27"/>
      <c r="U22" s="27"/>
      <c r="V22" s="27"/>
      <c r="W22" s="67" t="s">
        <v>275</v>
      </c>
      <c r="X22" s="27" t="s">
        <v>277</v>
      </c>
    </row>
    <row r="23" spans="1:24" s="2" customFormat="1" ht="39.9" customHeight="1" x14ac:dyDescent="0.4">
      <c r="A23" s="17" t="s">
        <v>43</v>
      </c>
      <c r="B23" s="24" t="s">
        <v>278</v>
      </c>
      <c r="C23" s="18" t="s">
        <v>279</v>
      </c>
      <c r="D23" s="18" t="s">
        <v>46</v>
      </c>
      <c r="E23" s="17">
        <v>12</v>
      </c>
      <c r="F23" s="17">
        <v>98</v>
      </c>
      <c r="G23" s="17">
        <v>21</v>
      </c>
      <c r="H23" s="17">
        <v>0</v>
      </c>
      <c r="I23" s="19">
        <f t="shared" si="1"/>
        <v>131</v>
      </c>
      <c r="J23" s="19"/>
      <c r="K23" s="17"/>
      <c r="L23" s="17"/>
      <c r="M23" s="17"/>
      <c r="N23" s="17"/>
      <c r="O23" s="19">
        <f t="shared" si="0"/>
        <v>0</v>
      </c>
      <c r="P23" s="17"/>
      <c r="Q23" s="27"/>
      <c r="R23" s="27"/>
      <c r="S23" s="27"/>
      <c r="T23" s="27"/>
      <c r="U23" s="27"/>
      <c r="V23" s="27"/>
      <c r="W23" s="67" t="s">
        <v>278</v>
      </c>
      <c r="X23" s="27" t="s">
        <v>280</v>
      </c>
    </row>
    <row r="24" spans="1:24" s="2" customFormat="1" ht="39.9" customHeight="1" x14ac:dyDescent="0.4">
      <c r="A24" s="17" t="s">
        <v>43</v>
      </c>
      <c r="B24" s="24" t="s">
        <v>281</v>
      </c>
      <c r="C24" s="18" t="s">
        <v>282</v>
      </c>
      <c r="D24" s="18" t="s">
        <v>46</v>
      </c>
      <c r="E24" s="17">
        <v>15</v>
      </c>
      <c r="F24" s="17">
        <v>45</v>
      </c>
      <c r="G24" s="17">
        <v>24</v>
      </c>
      <c r="H24" s="17">
        <v>0</v>
      </c>
      <c r="I24" s="19">
        <f t="shared" si="1"/>
        <v>84</v>
      </c>
      <c r="J24" s="19"/>
      <c r="K24" s="17"/>
      <c r="L24" s="17"/>
      <c r="M24" s="17"/>
      <c r="N24" s="17"/>
      <c r="O24" s="19">
        <f t="shared" si="0"/>
        <v>0</v>
      </c>
      <c r="P24" s="17"/>
      <c r="Q24" s="27"/>
      <c r="R24" s="27"/>
      <c r="S24" s="27"/>
      <c r="T24" s="27"/>
      <c r="U24" s="27"/>
      <c r="V24" s="27"/>
      <c r="W24" s="67" t="s">
        <v>281</v>
      </c>
      <c r="X24" s="27" t="s">
        <v>283</v>
      </c>
    </row>
    <row r="25" spans="1:24" s="2" customFormat="1" ht="39.9" customHeight="1" x14ac:dyDescent="0.4">
      <c r="A25" s="17" t="s">
        <v>43</v>
      </c>
      <c r="B25" s="24" t="s">
        <v>284</v>
      </c>
      <c r="C25" s="18" t="s">
        <v>285</v>
      </c>
      <c r="D25" s="18" t="s">
        <v>46</v>
      </c>
      <c r="E25" s="17">
        <v>12</v>
      </c>
      <c r="F25" s="17">
        <v>1</v>
      </c>
      <c r="G25" s="17">
        <v>452</v>
      </c>
      <c r="H25" s="17">
        <v>0</v>
      </c>
      <c r="I25" s="19">
        <f t="shared" si="1"/>
        <v>465</v>
      </c>
      <c r="J25" s="19"/>
      <c r="K25" s="17"/>
      <c r="L25" s="17"/>
      <c r="M25" s="17"/>
      <c r="N25" s="17"/>
      <c r="O25" s="19">
        <f t="shared" si="0"/>
        <v>0</v>
      </c>
      <c r="P25" s="17"/>
      <c r="Q25" s="27"/>
      <c r="R25" s="27"/>
      <c r="S25" s="27"/>
      <c r="T25" s="27"/>
      <c r="U25" s="27"/>
      <c r="V25" s="27"/>
      <c r="W25" s="67" t="s">
        <v>284</v>
      </c>
      <c r="X25" s="27" t="s">
        <v>286</v>
      </c>
    </row>
    <row r="26" spans="1:24" s="2" customFormat="1" ht="39.9" customHeight="1" x14ac:dyDescent="0.4">
      <c r="A26" s="17" t="s">
        <v>43</v>
      </c>
      <c r="B26" s="24" t="s">
        <v>287</v>
      </c>
      <c r="C26" s="18" t="s">
        <v>288</v>
      </c>
      <c r="D26" s="18" t="s">
        <v>46</v>
      </c>
      <c r="E26" s="17">
        <v>2</v>
      </c>
      <c r="F26" s="17">
        <v>7</v>
      </c>
      <c r="G26" s="17">
        <v>14</v>
      </c>
      <c r="H26" s="17">
        <v>0</v>
      </c>
      <c r="I26" s="19">
        <f t="shared" si="1"/>
        <v>23</v>
      </c>
      <c r="J26" s="19"/>
      <c r="K26" s="17"/>
      <c r="L26" s="17"/>
      <c r="M26" s="17"/>
      <c r="N26" s="17"/>
      <c r="O26" s="19">
        <f t="shared" si="0"/>
        <v>0</v>
      </c>
      <c r="P26" s="17"/>
      <c r="Q26" s="27"/>
      <c r="R26" s="27"/>
      <c r="S26" s="27"/>
      <c r="T26" s="27"/>
      <c r="U26" s="27"/>
      <c r="V26" s="27"/>
      <c r="W26" s="67" t="s">
        <v>287</v>
      </c>
      <c r="X26" s="27" t="s">
        <v>289</v>
      </c>
    </row>
    <row r="27" spans="1:24" s="2" customFormat="1" ht="39.9" customHeight="1" x14ac:dyDescent="0.4">
      <c r="A27" s="17" t="s">
        <v>43</v>
      </c>
      <c r="B27" s="24"/>
      <c r="C27" s="18"/>
      <c r="D27" s="18"/>
      <c r="E27" s="17"/>
      <c r="F27" s="17"/>
      <c r="G27" s="17"/>
      <c r="H27" s="17"/>
      <c r="I27" s="19">
        <f t="shared" si="1"/>
        <v>0</v>
      </c>
      <c r="J27" s="19"/>
      <c r="K27" s="17"/>
      <c r="L27" s="17"/>
      <c r="M27" s="17"/>
      <c r="N27" s="17"/>
      <c r="O27" s="19">
        <f t="shared" si="0"/>
        <v>0</v>
      </c>
      <c r="P27" s="17"/>
      <c r="Q27" s="27"/>
      <c r="R27" s="27"/>
      <c r="S27" s="27"/>
      <c r="T27" s="27"/>
      <c r="U27" s="27"/>
      <c r="V27" s="27"/>
      <c r="W27" s="67" t="s">
        <v>290</v>
      </c>
      <c r="X27" s="27" t="s">
        <v>291</v>
      </c>
    </row>
    <row r="28" spans="1:24" s="2" customFormat="1" ht="39.9" customHeight="1" x14ac:dyDescent="0.4">
      <c r="A28" s="17" t="s">
        <v>43</v>
      </c>
      <c r="B28" s="24"/>
      <c r="C28" s="18"/>
      <c r="D28" s="18"/>
      <c r="E28" s="17"/>
      <c r="F28" s="17"/>
      <c r="G28" s="17"/>
      <c r="H28" s="17"/>
      <c r="I28" s="19">
        <f t="shared" si="1"/>
        <v>0</v>
      </c>
      <c r="J28" s="19"/>
      <c r="K28" s="17"/>
      <c r="L28" s="17"/>
      <c r="M28" s="17"/>
      <c r="N28" s="17"/>
      <c r="O28" s="19">
        <f t="shared" si="0"/>
        <v>0</v>
      </c>
      <c r="P28" s="17"/>
      <c r="Q28" s="27"/>
      <c r="R28" s="27"/>
      <c r="S28" s="27"/>
      <c r="T28" s="27"/>
      <c r="U28" s="27"/>
      <c r="V28" s="27"/>
      <c r="W28" s="67" t="s">
        <v>292</v>
      </c>
      <c r="X28" s="27" t="s">
        <v>293</v>
      </c>
    </row>
    <row r="29" spans="1:24" s="2" customFormat="1" ht="39.9" customHeight="1" x14ac:dyDescent="0.4">
      <c r="A29" s="17" t="s">
        <v>43</v>
      </c>
      <c r="B29" s="24"/>
      <c r="C29" s="18"/>
      <c r="D29" s="18"/>
      <c r="E29" s="17"/>
      <c r="F29" s="17"/>
      <c r="G29" s="17"/>
      <c r="H29" s="17"/>
      <c r="I29" s="19">
        <f t="shared" si="1"/>
        <v>0</v>
      </c>
      <c r="J29" s="19"/>
      <c r="K29" s="17"/>
      <c r="L29" s="17"/>
      <c r="M29" s="17"/>
      <c r="N29" s="17"/>
      <c r="O29" s="19">
        <f t="shared" si="0"/>
        <v>0</v>
      </c>
      <c r="P29" s="17"/>
      <c r="Q29" s="27"/>
      <c r="R29" s="27"/>
      <c r="S29" s="27"/>
      <c r="T29" s="27"/>
      <c r="U29" s="27"/>
      <c r="V29" s="27"/>
      <c r="W29" s="67"/>
      <c r="X29" s="27"/>
    </row>
    <row r="30" spans="1:24" s="2" customFormat="1" ht="39.9" customHeight="1" x14ac:dyDescent="0.4">
      <c r="A30" s="17" t="s">
        <v>43</v>
      </c>
      <c r="B30" s="24"/>
      <c r="C30" s="18"/>
      <c r="D30" s="18"/>
      <c r="E30" s="17"/>
      <c r="F30" s="17"/>
      <c r="G30" s="17"/>
      <c r="H30" s="17"/>
      <c r="I30" s="19">
        <f t="shared" si="1"/>
        <v>0</v>
      </c>
      <c r="J30" s="19"/>
      <c r="K30" s="17"/>
      <c r="L30" s="17"/>
      <c r="M30" s="17"/>
      <c r="N30" s="17"/>
      <c r="O30" s="19">
        <f t="shared" si="0"/>
        <v>0</v>
      </c>
      <c r="P30" s="17"/>
      <c r="Q30" s="27"/>
      <c r="R30" s="27"/>
      <c r="S30" s="27"/>
      <c r="T30" s="27"/>
      <c r="U30" s="27"/>
      <c r="V30" s="27"/>
      <c r="W30" s="67"/>
      <c r="X30" s="27"/>
    </row>
    <row r="31" spans="1:24" s="2" customFormat="1" ht="39.9" customHeight="1" x14ac:dyDescent="0.4">
      <c r="A31" s="17" t="s">
        <v>43</v>
      </c>
      <c r="B31" s="24"/>
      <c r="C31" s="18"/>
      <c r="D31" s="18"/>
      <c r="E31" s="17"/>
      <c r="F31" s="17"/>
      <c r="G31" s="17"/>
      <c r="H31" s="17"/>
      <c r="I31" s="19">
        <f t="shared" si="1"/>
        <v>0</v>
      </c>
      <c r="J31" s="19"/>
      <c r="K31" s="17"/>
      <c r="L31" s="17"/>
      <c r="M31" s="17"/>
      <c r="N31" s="17"/>
      <c r="O31" s="19">
        <f t="shared" si="0"/>
        <v>0</v>
      </c>
      <c r="P31" s="17"/>
      <c r="Q31" s="27"/>
      <c r="R31" s="27"/>
      <c r="S31" s="27"/>
      <c r="T31" s="27"/>
      <c r="U31" s="27"/>
      <c r="V31" s="27"/>
      <c r="W31" s="67"/>
      <c r="X31" s="27"/>
    </row>
    <row r="32" spans="1:24" s="2" customFormat="1" ht="39.9" customHeight="1" x14ac:dyDescent="0.4">
      <c r="A32" s="17" t="s">
        <v>43</v>
      </c>
      <c r="B32" s="24"/>
      <c r="C32" s="18"/>
      <c r="D32" s="18"/>
      <c r="E32" s="17"/>
      <c r="F32" s="17"/>
      <c r="G32" s="17"/>
      <c r="H32" s="17"/>
      <c r="I32" s="19">
        <f t="shared" si="1"/>
        <v>0</v>
      </c>
      <c r="J32" s="19"/>
      <c r="K32" s="17"/>
      <c r="L32" s="17"/>
      <c r="M32" s="17"/>
      <c r="N32" s="17"/>
      <c r="O32" s="19">
        <f t="shared" si="0"/>
        <v>0</v>
      </c>
      <c r="P32" s="17"/>
      <c r="Q32" s="27"/>
      <c r="R32" s="27"/>
      <c r="S32" s="27"/>
      <c r="T32" s="27"/>
      <c r="U32" s="27"/>
      <c r="V32" s="27"/>
      <c r="W32" s="67"/>
      <c r="X32" s="27"/>
    </row>
    <row r="33" spans="1:24" s="2" customFormat="1" ht="39.9" customHeight="1" x14ac:dyDescent="0.4">
      <c r="A33" s="17" t="s">
        <v>43</v>
      </c>
      <c r="B33" s="24"/>
      <c r="C33" s="18"/>
      <c r="D33" s="18"/>
      <c r="E33" s="17"/>
      <c r="F33" s="17"/>
      <c r="G33" s="17"/>
      <c r="H33" s="17"/>
      <c r="I33" s="19">
        <f t="shared" si="1"/>
        <v>0</v>
      </c>
      <c r="J33" s="19"/>
      <c r="K33" s="17"/>
      <c r="L33" s="17"/>
      <c r="M33" s="17"/>
      <c r="N33" s="17"/>
      <c r="O33" s="19">
        <f t="shared" si="0"/>
        <v>0</v>
      </c>
      <c r="P33" s="17"/>
      <c r="Q33" s="27"/>
      <c r="R33" s="27"/>
      <c r="S33" s="27"/>
      <c r="T33" s="27"/>
      <c r="U33" s="27"/>
      <c r="V33" s="27"/>
      <c r="W33" s="67"/>
      <c r="X33" s="27"/>
    </row>
    <row r="34" spans="1:24" s="2" customFormat="1" ht="39.9" customHeight="1" x14ac:dyDescent="0.4">
      <c r="A34" s="17" t="s">
        <v>43</v>
      </c>
      <c r="B34" s="24"/>
      <c r="C34" s="18"/>
      <c r="D34" s="18"/>
      <c r="E34" s="17"/>
      <c r="F34" s="17"/>
      <c r="G34" s="17"/>
      <c r="H34" s="17"/>
      <c r="I34" s="19">
        <f t="shared" si="1"/>
        <v>0</v>
      </c>
      <c r="J34" s="19"/>
      <c r="K34" s="17"/>
      <c r="L34" s="17"/>
      <c r="M34" s="17"/>
      <c r="N34" s="17"/>
      <c r="O34" s="19">
        <f t="shared" si="0"/>
        <v>0</v>
      </c>
      <c r="P34" s="17"/>
      <c r="Q34" s="27"/>
      <c r="R34" s="27"/>
      <c r="S34" s="27"/>
      <c r="T34" s="27"/>
      <c r="U34" s="27"/>
      <c r="V34" s="27"/>
      <c r="W34" s="67"/>
      <c r="X34" s="27"/>
    </row>
    <row r="35" spans="1:24" s="2" customFormat="1" ht="39.9" customHeight="1" x14ac:dyDescent="0.4">
      <c r="A35" s="17" t="s">
        <v>43</v>
      </c>
      <c r="B35" s="24"/>
      <c r="C35" s="18"/>
      <c r="D35" s="18"/>
      <c r="E35" s="17"/>
      <c r="F35" s="17"/>
      <c r="G35" s="17"/>
      <c r="H35" s="17"/>
      <c r="I35" s="19">
        <f t="shared" si="1"/>
        <v>0</v>
      </c>
      <c r="J35" s="19"/>
      <c r="K35" s="17"/>
      <c r="L35" s="17"/>
      <c r="M35" s="17"/>
      <c r="N35" s="17"/>
      <c r="O35" s="19">
        <f t="shared" si="0"/>
        <v>0</v>
      </c>
      <c r="P35" s="17"/>
      <c r="Q35" s="27"/>
      <c r="R35" s="27"/>
      <c r="S35" s="27"/>
      <c r="T35" s="27"/>
      <c r="U35" s="27"/>
      <c r="V35" s="27"/>
      <c r="W35" s="67"/>
      <c r="X35" s="27"/>
    </row>
    <row r="36" spans="1:24" s="2" customFormat="1" ht="39.9" customHeight="1" x14ac:dyDescent="0.4">
      <c r="A36" s="17" t="s">
        <v>43</v>
      </c>
      <c r="B36" s="24"/>
      <c r="C36" s="18"/>
      <c r="D36" s="18"/>
      <c r="E36" s="17"/>
      <c r="F36" s="17"/>
      <c r="G36" s="17"/>
      <c r="H36" s="17"/>
      <c r="I36" s="19">
        <f t="shared" si="1"/>
        <v>0</v>
      </c>
      <c r="J36" s="19"/>
      <c r="K36" s="17"/>
      <c r="L36" s="17"/>
      <c r="M36" s="17"/>
      <c r="N36" s="17"/>
      <c r="O36" s="19">
        <f t="shared" si="0"/>
        <v>0</v>
      </c>
      <c r="P36" s="17"/>
      <c r="Q36" s="27"/>
      <c r="R36" s="27"/>
      <c r="S36" s="27"/>
      <c r="T36" s="27"/>
      <c r="U36" s="27"/>
      <c r="V36" s="27"/>
      <c r="W36" s="67"/>
      <c r="X36" s="27"/>
    </row>
    <row r="37" spans="1:24" s="2" customFormat="1" ht="39.9" customHeight="1" x14ac:dyDescent="0.4">
      <c r="A37" s="17" t="s">
        <v>43</v>
      </c>
      <c r="B37" s="24"/>
      <c r="C37" s="18"/>
      <c r="D37" s="18"/>
      <c r="E37" s="17"/>
      <c r="F37" s="17"/>
      <c r="G37" s="17"/>
      <c r="H37" s="17"/>
      <c r="I37" s="19">
        <f t="shared" si="1"/>
        <v>0</v>
      </c>
      <c r="J37" s="19"/>
      <c r="K37" s="17"/>
      <c r="L37" s="17"/>
      <c r="M37" s="17"/>
      <c r="N37" s="17"/>
      <c r="O37" s="19">
        <f t="shared" si="0"/>
        <v>0</v>
      </c>
      <c r="P37" s="17"/>
      <c r="Q37" s="27"/>
      <c r="R37" s="27"/>
      <c r="S37" s="27"/>
      <c r="T37" s="27"/>
      <c r="U37" s="27"/>
      <c r="V37" s="27"/>
      <c r="W37" s="67"/>
      <c r="X37" s="27"/>
    </row>
    <row r="38" spans="1:24" s="2" customFormat="1" ht="58.5" customHeight="1" x14ac:dyDescent="0.4">
      <c r="A38" s="95" t="s">
        <v>106</v>
      </c>
      <c r="B38" s="96"/>
      <c r="C38" s="96"/>
      <c r="D38" s="97"/>
      <c r="E38" s="7">
        <f t="shared" ref="E38:O38" si="2">SUM(E11:E37)</f>
        <v>114</v>
      </c>
      <c r="F38" s="7">
        <f t="shared" si="2"/>
        <v>355</v>
      </c>
      <c r="G38" s="7">
        <f t="shared" si="2"/>
        <v>945</v>
      </c>
      <c r="H38" s="7">
        <f>SUM(H11:H37)</f>
        <v>4</v>
      </c>
      <c r="I38" s="7">
        <f t="shared" si="2"/>
        <v>1418</v>
      </c>
      <c r="J38" s="7">
        <f t="shared" si="2"/>
        <v>0</v>
      </c>
      <c r="K38" s="7">
        <f t="shared" si="2"/>
        <v>0</v>
      </c>
      <c r="L38" s="7">
        <f t="shared" si="2"/>
        <v>0</v>
      </c>
      <c r="M38" s="7">
        <f t="shared" si="2"/>
        <v>0</v>
      </c>
      <c r="N38" s="7">
        <f t="shared" si="2"/>
        <v>0</v>
      </c>
      <c r="O38" s="7">
        <f t="shared" si="2"/>
        <v>0</v>
      </c>
      <c r="P38" s="7"/>
      <c r="Q38" s="7"/>
      <c r="R38" s="7"/>
      <c r="S38" s="7"/>
      <c r="T38" s="7"/>
      <c r="U38" s="7"/>
      <c r="V38" s="7"/>
      <c r="W38" s="62"/>
      <c r="X38" s="7"/>
    </row>
    <row r="39" spans="1:24" s="2" customFormat="1" ht="63" customHeight="1" x14ac:dyDescent="0.4">
      <c r="A39" s="79"/>
      <c r="B39" s="121" t="s">
        <v>294</v>
      </c>
      <c r="C39" s="122"/>
      <c r="D39" s="123"/>
      <c r="E39" s="45">
        <f>SUM(E38)-K38</f>
        <v>114</v>
      </c>
      <c r="F39" s="45">
        <f>SUM(F38-L38)</f>
        <v>355</v>
      </c>
      <c r="G39" s="45">
        <f>SUM(G38-M38)</f>
        <v>945</v>
      </c>
      <c r="H39" s="45">
        <f>SUM(H38-N38)</f>
        <v>4</v>
      </c>
      <c r="I39" s="45">
        <f>SUM(I38-O38)</f>
        <v>1418</v>
      </c>
      <c r="J39" s="88" t="s">
        <v>107</v>
      </c>
      <c r="K39" s="43"/>
      <c r="L39" s="43"/>
      <c r="M39" s="43"/>
      <c r="N39" s="43"/>
      <c r="O39" s="43"/>
      <c r="P39" s="7"/>
      <c r="Q39" s="7"/>
      <c r="R39" s="7"/>
      <c r="S39" s="7"/>
      <c r="T39" s="7"/>
      <c r="U39" s="7"/>
      <c r="V39" s="7"/>
      <c r="W39" s="62"/>
      <c r="X39" s="7"/>
    </row>
    <row r="40" spans="1:24" s="2" customFormat="1" ht="63" customHeight="1" x14ac:dyDescent="0.4">
      <c r="A40" s="44"/>
      <c r="B40" s="121" t="s">
        <v>295</v>
      </c>
      <c r="C40" s="122"/>
      <c r="D40" s="123"/>
      <c r="E40" s="47">
        <f>(E38-E39)/E38</f>
        <v>0</v>
      </c>
      <c r="F40" s="47">
        <f>(F38-F39)/F38</f>
        <v>0</v>
      </c>
      <c r="G40" s="47">
        <f t="shared" ref="G40:I40" si="3">(G38-G39)/G38</f>
        <v>0</v>
      </c>
      <c r="H40" s="47">
        <f t="shared" si="3"/>
        <v>0</v>
      </c>
      <c r="I40" s="47">
        <f t="shared" si="3"/>
        <v>0</v>
      </c>
      <c r="J40" s="80">
        <f>J38/(I38-H38)</f>
        <v>0</v>
      </c>
      <c r="K40" s="43"/>
      <c r="L40" s="43"/>
      <c r="M40" s="43"/>
      <c r="N40" s="43"/>
      <c r="O40" s="43"/>
      <c r="P40" s="7"/>
      <c r="Q40" s="7"/>
      <c r="R40" s="7"/>
      <c r="S40" s="7"/>
      <c r="T40" s="7"/>
      <c r="U40" s="7"/>
      <c r="V40" s="7"/>
      <c r="W40" s="62"/>
      <c r="X40" s="7"/>
    </row>
    <row r="41" spans="1:24" s="2" customFormat="1" ht="39.9" customHeight="1" x14ac:dyDescent="0.4">
      <c r="A41" s="36" t="s">
        <v>108</v>
      </c>
      <c r="B41" s="37" t="e">
        <f>SUM(P41)/P43*100</f>
        <v>#DIV/0!</v>
      </c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29" t="s">
        <v>109</v>
      </c>
      <c r="O41" s="30"/>
      <c r="P41" s="38">
        <f>SUM(Q41:X41)</f>
        <v>0</v>
      </c>
      <c r="Q41" s="28">
        <f t="shared" ref="Q41:V41" si="4">SUM(Q11:Q12)</f>
        <v>0</v>
      </c>
      <c r="R41" s="28">
        <f t="shared" si="4"/>
        <v>0</v>
      </c>
      <c r="S41" s="28">
        <f t="shared" si="4"/>
        <v>0</v>
      </c>
      <c r="T41" s="28">
        <f t="shared" si="4"/>
        <v>0</v>
      </c>
      <c r="U41" s="28">
        <f t="shared" si="4"/>
        <v>0</v>
      </c>
      <c r="V41" s="28">
        <f t="shared" si="4"/>
        <v>0</v>
      </c>
      <c r="W41" s="63"/>
      <c r="X41" s="28"/>
    </row>
    <row r="42" spans="1:24" s="2" customFormat="1" ht="39.9" customHeight="1" x14ac:dyDescent="0.4">
      <c r="A42" s="36" t="s">
        <v>110</v>
      </c>
      <c r="B42" s="37" t="e">
        <f>SUM(P42)/P43*100</f>
        <v>#DIV/0!</v>
      </c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29" t="s">
        <v>111</v>
      </c>
      <c r="O42" s="30"/>
      <c r="P42" s="38">
        <f>SUM(Q42:X42)</f>
        <v>0</v>
      </c>
      <c r="Q42" s="28">
        <f>SUM(Q13:Q37)</f>
        <v>0</v>
      </c>
      <c r="R42" s="28">
        <f t="shared" ref="R42:U42" si="5">SUM(R13:R37)</f>
        <v>0</v>
      </c>
      <c r="S42" s="28">
        <f t="shared" si="5"/>
        <v>0</v>
      </c>
      <c r="T42" s="28">
        <f t="shared" si="5"/>
        <v>0</v>
      </c>
      <c r="U42" s="28">
        <f t="shared" si="5"/>
        <v>0</v>
      </c>
      <c r="V42" s="28">
        <f t="shared" ref="V42" si="6">SUM(V13:V37)</f>
        <v>0</v>
      </c>
      <c r="W42" s="63"/>
      <c r="X42" s="28"/>
    </row>
    <row r="43" spans="1:24" s="2" customFormat="1" ht="39.9" customHeight="1" x14ac:dyDescent="0.4">
      <c r="A43" s="29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29" t="s">
        <v>112</v>
      </c>
      <c r="O43" s="30"/>
      <c r="P43" s="38">
        <f>SUM(Q43:X43)</f>
        <v>0</v>
      </c>
      <c r="Q43" s="28">
        <f>SUM(Q41:Q42)</f>
        <v>0</v>
      </c>
      <c r="R43" s="28">
        <f t="shared" ref="R43:U43" si="7">SUM(R41:R42)</f>
        <v>0</v>
      </c>
      <c r="S43" s="28">
        <f t="shared" si="7"/>
        <v>0</v>
      </c>
      <c r="T43" s="28">
        <f t="shared" si="7"/>
        <v>0</v>
      </c>
      <c r="U43" s="28">
        <f t="shared" si="7"/>
        <v>0</v>
      </c>
      <c r="V43" s="28">
        <f t="shared" ref="V43" si="8">SUM(V41:V42)</f>
        <v>0</v>
      </c>
      <c r="W43" s="63"/>
      <c r="X43" s="28"/>
    </row>
    <row r="44" spans="1:24" s="2" customFormat="1" ht="36" customHeight="1" x14ac:dyDescent="0.4">
      <c r="A44" s="93" t="s">
        <v>113</v>
      </c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33"/>
      <c r="P44" s="31">
        <f>SUM(Q44:X44)</f>
        <v>30</v>
      </c>
      <c r="Q44" s="28">
        <v>5</v>
      </c>
      <c r="R44" s="28">
        <v>5</v>
      </c>
      <c r="S44" s="28">
        <v>5</v>
      </c>
      <c r="T44" s="28">
        <v>5</v>
      </c>
      <c r="U44" s="28">
        <v>5</v>
      </c>
      <c r="V44" s="28">
        <v>5</v>
      </c>
      <c r="W44" s="63"/>
      <c r="X44" s="28"/>
    </row>
    <row r="45" spans="1:24" s="2" customFormat="1" ht="36" customHeight="1" x14ac:dyDescent="0.4">
      <c r="A45" s="93" t="s">
        <v>296</v>
      </c>
      <c r="B45" s="94"/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33"/>
      <c r="P45" s="31"/>
      <c r="Q45" s="31" t="e">
        <f>SUM(Q41)/Q43*100</f>
        <v>#DIV/0!</v>
      </c>
      <c r="R45" s="31" t="e">
        <f t="shared" ref="R45:V45" si="9">SUM(R41)/R43*100</f>
        <v>#DIV/0!</v>
      </c>
      <c r="S45" s="31" t="e">
        <f t="shared" si="9"/>
        <v>#DIV/0!</v>
      </c>
      <c r="T45" s="31" t="e">
        <f t="shared" si="9"/>
        <v>#DIV/0!</v>
      </c>
      <c r="U45" s="31" t="e">
        <f t="shared" si="9"/>
        <v>#DIV/0!</v>
      </c>
      <c r="V45" s="31" t="e">
        <f t="shared" si="9"/>
        <v>#DIV/0!</v>
      </c>
      <c r="W45" s="63"/>
      <c r="X45" s="28"/>
    </row>
    <row r="46" spans="1:24" s="2" customFormat="1" ht="36" customHeight="1" x14ac:dyDescent="0.4">
      <c r="A46" s="93" t="s">
        <v>297</v>
      </c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33"/>
      <c r="P46" s="31"/>
      <c r="Q46" s="31" t="e">
        <f>SUM(Q42)/Q43*100</f>
        <v>#DIV/0!</v>
      </c>
      <c r="R46" s="31" t="e">
        <f t="shared" ref="R46:V46" si="10">SUM(R42)/R43*100</f>
        <v>#DIV/0!</v>
      </c>
      <c r="S46" s="31" t="e">
        <f t="shared" si="10"/>
        <v>#DIV/0!</v>
      </c>
      <c r="T46" s="31" t="e">
        <f t="shared" si="10"/>
        <v>#DIV/0!</v>
      </c>
      <c r="U46" s="31" t="e">
        <f t="shared" si="10"/>
        <v>#DIV/0!</v>
      </c>
      <c r="V46" s="31" t="e">
        <f t="shared" si="10"/>
        <v>#DIV/0!</v>
      </c>
      <c r="W46" s="63"/>
      <c r="X46" s="28"/>
    </row>
    <row r="47" spans="1:24" s="2" customFormat="1" ht="36" customHeight="1" x14ac:dyDescent="0.4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5"/>
      <c r="Q47" s="5"/>
      <c r="R47" s="5"/>
      <c r="S47" s="5"/>
      <c r="T47" s="5"/>
      <c r="U47" s="5"/>
      <c r="V47" s="6"/>
      <c r="W47" s="64"/>
      <c r="X47" s="6"/>
    </row>
    <row r="48" spans="1:24" ht="36" customHeight="1" x14ac:dyDescent="0.3">
      <c r="A48" s="102" t="s">
        <v>298</v>
      </c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</row>
    <row r="49" spans="1:24" ht="36" customHeight="1" x14ac:dyDescent="0.3">
      <c r="A49" s="102" t="s">
        <v>117</v>
      </c>
      <c r="B49" s="102"/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</row>
    <row r="50" spans="1:24" ht="36" customHeight="1" x14ac:dyDescent="0.3">
      <c r="A50" s="68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</row>
    <row r="51" spans="1:24" ht="108.75" customHeight="1" x14ac:dyDescent="0.3">
      <c r="P51" s="42"/>
      <c r="Q51" s="42"/>
      <c r="R51" s="42"/>
      <c r="S51" s="34"/>
      <c r="T51" s="34"/>
      <c r="U51" s="34"/>
      <c r="V51" s="34"/>
      <c r="W51" s="53"/>
      <c r="X51" s="34"/>
    </row>
    <row r="52" spans="1:24" ht="108.75" customHeight="1" x14ac:dyDescent="0.3">
      <c r="P52" s="42"/>
      <c r="Q52" s="42"/>
      <c r="R52" s="42"/>
      <c r="S52" s="34"/>
      <c r="T52" s="34"/>
      <c r="U52" s="34"/>
      <c r="V52" s="34"/>
      <c r="W52" s="53"/>
      <c r="X52" s="34"/>
    </row>
    <row r="53" spans="1:24" ht="138" customHeight="1" x14ac:dyDescent="0.3">
      <c r="P53" s="41"/>
      <c r="Q53" s="41"/>
      <c r="R53" s="41"/>
      <c r="S53" s="35"/>
      <c r="T53" s="35"/>
      <c r="U53" s="35"/>
      <c r="V53" s="35"/>
      <c r="W53" s="54"/>
      <c r="X53" s="35"/>
    </row>
    <row r="54" spans="1:24" ht="110.25" customHeight="1" x14ac:dyDescent="0.3">
      <c r="A54" s="100" t="s">
        <v>214</v>
      </c>
      <c r="B54" s="100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40"/>
      <c r="Q54" s="40"/>
      <c r="R54" s="40"/>
      <c r="S54" s="35"/>
      <c r="U54" s="39"/>
      <c r="V54" s="39"/>
      <c r="W54" s="55"/>
      <c r="X54" s="39"/>
    </row>
    <row r="55" spans="1:24" ht="49.5" customHeight="1" x14ac:dyDescent="0.3">
      <c r="A55" s="101" t="s">
        <v>215</v>
      </c>
      <c r="B55" s="101"/>
      <c r="C55" s="101"/>
      <c r="D55" s="101"/>
      <c r="E55" s="10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3"/>
      <c r="Q55" s="3"/>
      <c r="R55" s="3"/>
      <c r="S55" s="3"/>
      <c r="T55" s="3"/>
      <c r="U55" s="3"/>
    </row>
    <row r="56" spans="1:24" ht="80.25" customHeight="1" x14ac:dyDescent="0.3">
      <c r="P56" s="8"/>
      <c r="Q56" s="9" t="s">
        <v>299</v>
      </c>
      <c r="R56" s="9" t="s">
        <v>300</v>
      </c>
      <c r="S56" s="9" t="s">
        <v>301</v>
      </c>
      <c r="T56" s="9" t="s">
        <v>302</v>
      </c>
      <c r="U56" s="9" t="s">
        <v>303</v>
      </c>
      <c r="V56" s="9" t="s">
        <v>304</v>
      </c>
      <c r="W56" s="57"/>
      <c r="X56" s="48"/>
    </row>
    <row r="57" spans="1:24" s="2" customFormat="1" ht="69.75" customHeight="1" x14ac:dyDescent="0.4">
      <c r="A57" s="112" t="s">
        <v>305</v>
      </c>
      <c r="B57" s="112"/>
      <c r="C57" s="112"/>
      <c r="D57" s="112"/>
      <c r="E57" s="112"/>
      <c r="F57" s="112"/>
      <c r="G57" s="112"/>
      <c r="H57" s="112"/>
      <c r="I57" s="112"/>
      <c r="J57" s="112"/>
      <c r="K57" s="112"/>
      <c r="L57" s="112"/>
      <c r="M57" s="112"/>
      <c r="N57" s="112"/>
      <c r="O57" s="120"/>
      <c r="P57" s="10" t="s">
        <v>9</v>
      </c>
      <c r="Q57" s="71" t="s">
        <v>306</v>
      </c>
      <c r="R57" s="72" t="s">
        <v>307</v>
      </c>
      <c r="S57" s="72" t="s">
        <v>308</v>
      </c>
      <c r="T57" s="72" t="s">
        <v>309</v>
      </c>
      <c r="U57" s="72" t="s">
        <v>310</v>
      </c>
      <c r="V57" s="72" t="s">
        <v>228</v>
      </c>
      <c r="W57" s="58"/>
      <c r="X57" s="49"/>
    </row>
    <row r="58" spans="1:24" s="2" customFormat="1" ht="186.75" customHeight="1" x14ac:dyDescent="0.4">
      <c r="A58" s="108" t="s">
        <v>16</v>
      </c>
      <c r="B58" s="108"/>
      <c r="C58" s="108"/>
      <c r="D58" s="108"/>
      <c r="E58" s="108"/>
      <c r="F58" s="108"/>
      <c r="G58" s="108"/>
      <c r="H58" s="108"/>
      <c r="I58" s="108"/>
      <c r="J58" s="108"/>
      <c r="K58" s="108"/>
      <c r="L58" s="108"/>
      <c r="M58" s="108"/>
      <c r="N58" s="108"/>
      <c r="O58" s="119"/>
      <c r="P58" s="10" t="s">
        <v>17</v>
      </c>
      <c r="Q58" s="69" t="s">
        <v>311</v>
      </c>
      <c r="R58" s="70" t="s">
        <v>312</v>
      </c>
      <c r="S58" s="70" t="s">
        <v>313</v>
      </c>
      <c r="T58" s="70" t="s">
        <v>314</v>
      </c>
      <c r="U58" s="70" t="s">
        <v>315</v>
      </c>
      <c r="V58" s="70" t="s">
        <v>316</v>
      </c>
      <c r="W58" s="59"/>
      <c r="X58" s="50"/>
    </row>
    <row r="59" spans="1:24" s="2" customFormat="1" ht="90" customHeight="1" x14ac:dyDescent="0.4">
      <c r="A59" s="105"/>
      <c r="B59" s="105"/>
      <c r="C59" s="105"/>
      <c r="D59" s="105"/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18"/>
      <c r="P59" s="10" t="s">
        <v>24</v>
      </c>
      <c r="Q59" s="69" t="s">
        <v>235</v>
      </c>
      <c r="R59" s="69" t="s">
        <v>235</v>
      </c>
      <c r="S59" s="69" t="s">
        <v>235</v>
      </c>
      <c r="T59" s="69" t="s">
        <v>235</v>
      </c>
      <c r="U59" s="69" t="s">
        <v>235</v>
      </c>
      <c r="V59" s="69" t="s">
        <v>235</v>
      </c>
      <c r="W59" s="59"/>
      <c r="X59" s="50"/>
    </row>
    <row r="60" spans="1:24" s="20" customFormat="1" ht="81" customHeight="1" x14ac:dyDescent="0.4">
      <c r="A60" s="106" t="s">
        <v>26</v>
      </c>
      <c r="B60" s="106" t="s">
        <v>27</v>
      </c>
      <c r="C60" s="103" t="s">
        <v>28</v>
      </c>
      <c r="D60" s="103" t="s">
        <v>29</v>
      </c>
      <c r="E60" s="109" t="s">
        <v>30</v>
      </c>
      <c r="F60" s="110"/>
      <c r="G60" s="110"/>
      <c r="H60" s="110"/>
      <c r="I60" s="110"/>
      <c r="J60" s="111"/>
      <c r="K60" s="109" t="s">
        <v>236</v>
      </c>
      <c r="L60" s="110"/>
      <c r="M60" s="110"/>
      <c r="N60" s="110"/>
      <c r="O60" s="111"/>
      <c r="P60" s="113"/>
      <c r="Q60" s="103" t="s">
        <v>317</v>
      </c>
      <c r="R60" s="103" t="s">
        <v>318</v>
      </c>
      <c r="S60" s="103" t="s">
        <v>319</v>
      </c>
      <c r="T60" s="103" t="s">
        <v>320</v>
      </c>
      <c r="U60" s="103" t="s">
        <v>321</v>
      </c>
      <c r="V60" s="103" t="s">
        <v>322</v>
      </c>
      <c r="W60" s="60"/>
      <c r="X60" s="51"/>
    </row>
    <row r="61" spans="1:24" s="20" customFormat="1" ht="96" customHeight="1" x14ac:dyDescent="0.4">
      <c r="A61" s="107"/>
      <c r="B61" s="107"/>
      <c r="C61" s="104"/>
      <c r="D61" s="104"/>
      <c r="E61" s="21" t="s">
        <v>37</v>
      </c>
      <c r="F61" s="21" t="s">
        <v>38</v>
      </c>
      <c r="G61" s="21" t="s">
        <v>39</v>
      </c>
      <c r="H61" s="21" t="s">
        <v>143</v>
      </c>
      <c r="I61" s="21" t="s">
        <v>41</v>
      </c>
      <c r="J61" s="21" t="s">
        <v>42</v>
      </c>
      <c r="K61" s="21" t="s">
        <v>37</v>
      </c>
      <c r="L61" s="21" t="s">
        <v>38</v>
      </c>
      <c r="M61" s="21" t="s">
        <v>39</v>
      </c>
      <c r="N61" s="21" t="s">
        <v>143</v>
      </c>
      <c r="O61" s="21" t="s">
        <v>41</v>
      </c>
      <c r="P61" s="114"/>
      <c r="Q61" s="104"/>
      <c r="R61" s="104"/>
      <c r="S61" s="104"/>
      <c r="T61" s="104"/>
      <c r="U61" s="104"/>
      <c r="V61" s="104"/>
      <c r="W61" s="61"/>
      <c r="X61" s="52"/>
    </row>
    <row r="62" spans="1:24" s="2" customFormat="1" ht="39.9" customHeight="1" x14ac:dyDescent="0.4">
      <c r="A62" s="11" t="s">
        <v>43</v>
      </c>
      <c r="B62" s="22" t="s">
        <v>323</v>
      </c>
      <c r="C62" s="12" t="s">
        <v>324</v>
      </c>
      <c r="D62" s="12" t="s">
        <v>46</v>
      </c>
      <c r="E62" s="11"/>
      <c r="F62" s="11"/>
      <c r="G62" s="11"/>
      <c r="H62" s="11"/>
      <c r="I62" s="13">
        <f>SUM(E62:H62)</f>
        <v>0</v>
      </c>
      <c r="J62" s="13"/>
      <c r="K62" s="11"/>
      <c r="L62" s="11"/>
      <c r="M62" s="11"/>
      <c r="N62" s="11"/>
      <c r="O62" s="13">
        <f>SUM(K62:N62)</f>
        <v>0</v>
      </c>
      <c r="P62" s="11"/>
      <c r="Q62" s="25"/>
      <c r="R62" s="25"/>
      <c r="S62" s="25"/>
      <c r="T62" s="25"/>
      <c r="U62" s="25"/>
      <c r="V62" s="25"/>
      <c r="W62" s="65" t="s">
        <v>323</v>
      </c>
      <c r="X62" s="25" t="s">
        <v>325</v>
      </c>
    </row>
    <row r="63" spans="1:24" s="2" customFormat="1" ht="39.9" customHeight="1" x14ac:dyDescent="0.4">
      <c r="A63" s="11" t="s">
        <v>43</v>
      </c>
      <c r="B63" s="22" t="s">
        <v>326</v>
      </c>
      <c r="C63" s="12" t="s">
        <v>327</v>
      </c>
      <c r="D63" s="12" t="s">
        <v>46</v>
      </c>
      <c r="E63" s="11"/>
      <c r="F63" s="11"/>
      <c r="G63" s="11"/>
      <c r="H63" s="11"/>
      <c r="I63" s="13">
        <f t="shared" ref="I63:I89" si="11">SUM(E63:H63)</f>
        <v>0</v>
      </c>
      <c r="J63" s="13"/>
      <c r="K63" s="11"/>
      <c r="L63" s="11"/>
      <c r="M63" s="11"/>
      <c r="N63" s="11"/>
      <c r="O63" s="13">
        <f t="shared" ref="O63:O89" si="12">SUM(K63:N63)</f>
        <v>0</v>
      </c>
      <c r="P63" s="11"/>
      <c r="Q63" s="25"/>
      <c r="R63" s="25"/>
      <c r="S63" s="25"/>
      <c r="T63" s="25"/>
      <c r="U63" s="25"/>
      <c r="V63" s="25"/>
      <c r="W63" s="65" t="s">
        <v>326</v>
      </c>
      <c r="X63" s="25" t="s">
        <v>328</v>
      </c>
    </row>
    <row r="64" spans="1:24" s="2" customFormat="1" ht="39.9" customHeight="1" x14ac:dyDescent="0.4">
      <c r="A64" s="14" t="s">
        <v>43</v>
      </c>
      <c r="B64" s="23" t="s">
        <v>63</v>
      </c>
      <c r="C64" s="15" t="s">
        <v>329</v>
      </c>
      <c r="D64" s="15" t="s">
        <v>46</v>
      </c>
      <c r="E64" s="14"/>
      <c r="F64" s="14"/>
      <c r="G64" s="14"/>
      <c r="H64" s="14"/>
      <c r="I64" s="16">
        <f t="shared" si="11"/>
        <v>0</v>
      </c>
      <c r="J64" s="16"/>
      <c r="K64" s="14"/>
      <c r="L64" s="14"/>
      <c r="M64" s="14"/>
      <c r="N64" s="14"/>
      <c r="O64" s="16">
        <f t="shared" si="12"/>
        <v>0</v>
      </c>
      <c r="P64" s="14"/>
      <c r="Q64" s="26"/>
      <c r="R64" s="26"/>
      <c r="S64" s="26"/>
      <c r="T64" s="26"/>
      <c r="U64" s="26"/>
      <c r="V64" s="26"/>
      <c r="W64" s="66" t="s">
        <v>63</v>
      </c>
      <c r="X64" s="26" t="s">
        <v>330</v>
      </c>
    </row>
    <row r="65" spans="1:24" s="2" customFormat="1" ht="39.9" customHeight="1" x14ac:dyDescent="0.4">
      <c r="A65" s="17" t="s">
        <v>43</v>
      </c>
      <c r="B65" s="24" t="s">
        <v>331</v>
      </c>
      <c r="C65" s="18" t="s">
        <v>332</v>
      </c>
      <c r="D65" s="18" t="s">
        <v>46</v>
      </c>
      <c r="E65" s="17"/>
      <c r="F65" s="17"/>
      <c r="G65" s="17"/>
      <c r="H65" s="17"/>
      <c r="I65" s="19">
        <f t="shared" si="11"/>
        <v>0</v>
      </c>
      <c r="J65" s="19"/>
      <c r="K65" s="17"/>
      <c r="L65" s="17"/>
      <c r="M65" s="17"/>
      <c r="N65" s="17"/>
      <c r="O65" s="19">
        <f t="shared" si="12"/>
        <v>0</v>
      </c>
      <c r="P65" s="17"/>
      <c r="Q65" s="27"/>
      <c r="R65" s="27"/>
      <c r="S65" s="27"/>
      <c r="T65" s="27"/>
      <c r="U65" s="27"/>
      <c r="V65" s="27"/>
      <c r="W65" s="67" t="s">
        <v>331</v>
      </c>
      <c r="X65" s="27" t="s">
        <v>333</v>
      </c>
    </row>
    <row r="66" spans="1:24" s="2" customFormat="1" ht="39.9" customHeight="1" x14ac:dyDescent="0.4">
      <c r="A66" s="17" t="s">
        <v>43</v>
      </c>
      <c r="B66" s="24" t="s">
        <v>334</v>
      </c>
      <c r="C66" s="18" t="s">
        <v>335</v>
      </c>
      <c r="D66" s="18" t="s">
        <v>46</v>
      </c>
      <c r="E66" s="17"/>
      <c r="F66" s="17"/>
      <c r="G66" s="17"/>
      <c r="H66" s="17"/>
      <c r="I66" s="19">
        <f t="shared" si="11"/>
        <v>0</v>
      </c>
      <c r="J66" s="19"/>
      <c r="K66" s="17"/>
      <c r="L66" s="17"/>
      <c r="M66" s="17"/>
      <c r="N66" s="17"/>
      <c r="O66" s="19">
        <f t="shared" si="12"/>
        <v>0</v>
      </c>
      <c r="P66" s="17"/>
      <c r="Q66" s="27"/>
      <c r="R66" s="27"/>
      <c r="S66" s="27"/>
      <c r="T66" s="27"/>
      <c r="U66" s="27"/>
      <c r="V66" s="27"/>
      <c r="W66" s="67" t="s">
        <v>334</v>
      </c>
      <c r="X66" s="27" t="s">
        <v>336</v>
      </c>
    </row>
    <row r="67" spans="1:24" s="2" customFormat="1" ht="39.9" customHeight="1" x14ac:dyDescent="0.4">
      <c r="A67" s="17" t="s">
        <v>43</v>
      </c>
      <c r="B67" s="24" t="s">
        <v>337</v>
      </c>
      <c r="C67" s="18" t="s">
        <v>338</v>
      </c>
      <c r="D67" s="18" t="s">
        <v>46</v>
      </c>
      <c r="E67" s="17"/>
      <c r="F67" s="17"/>
      <c r="G67" s="17"/>
      <c r="H67" s="17"/>
      <c r="I67" s="19">
        <f t="shared" si="11"/>
        <v>0</v>
      </c>
      <c r="J67" s="19"/>
      <c r="K67" s="17"/>
      <c r="L67" s="17"/>
      <c r="M67" s="17"/>
      <c r="N67" s="17"/>
      <c r="O67" s="19">
        <f t="shared" si="12"/>
        <v>0</v>
      </c>
      <c r="P67" s="17"/>
      <c r="Q67" s="27"/>
      <c r="R67" s="27"/>
      <c r="S67" s="27"/>
      <c r="T67" s="27"/>
      <c r="U67" s="27"/>
      <c r="V67" s="27"/>
      <c r="W67" s="67" t="s">
        <v>337</v>
      </c>
      <c r="X67" s="27" t="s">
        <v>339</v>
      </c>
    </row>
    <row r="68" spans="1:24" s="2" customFormat="1" ht="39.9" customHeight="1" x14ac:dyDescent="0.4">
      <c r="A68" s="17" t="s">
        <v>43</v>
      </c>
      <c r="B68" s="24" t="s">
        <v>340</v>
      </c>
      <c r="C68" s="18" t="s">
        <v>341</v>
      </c>
      <c r="D68" s="18" t="s">
        <v>46</v>
      </c>
      <c r="E68" s="17"/>
      <c r="F68" s="17"/>
      <c r="G68" s="17"/>
      <c r="H68" s="17"/>
      <c r="I68" s="19">
        <f t="shared" si="11"/>
        <v>0</v>
      </c>
      <c r="J68" s="19"/>
      <c r="K68" s="17"/>
      <c r="L68" s="17"/>
      <c r="M68" s="17"/>
      <c r="N68" s="17"/>
      <c r="O68" s="19">
        <f t="shared" si="12"/>
        <v>0</v>
      </c>
      <c r="P68" s="17"/>
      <c r="Q68" s="27"/>
      <c r="R68" s="27"/>
      <c r="S68" s="27"/>
      <c r="T68" s="27"/>
      <c r="U68" s="27"/>
      <c r="V68" s="27"/>
      <c r="W68" s="67" t="s">
        <v>340</v>
      </c>
      <c r="X68" s="27" t="s">
        <v>342</v>
      </c>
    </row>
    <row r="69" spans="1:24" s="2" customFormat="1" ht="39.9" customHeight="1" x14ac:dyDescent="0.4">
      <c r="A69" s="17" t="s">
        <v>43</v>
      </c>
      <c r="B69" s="24" t="s">
        <v>343</v>
      </c>
      <c r="C69" s="18" t="s">
        <v>344</v>
      </c>
      <c r="D69" s="18" t="s">
        <v>46</v>
      </c>
      <c r="E69" s="17"/>
      <c r="F69" s="17"/>
      <c r="G69" s="17"/>
      <c r="H69" s="17"/>
      <c r="I69" s="19">
        <f t="shared" si="11"/>
        <v>0</v>
      </c>
      <c r="J69" s="19"/>
      <c r="K69" s="17"/>
      <c r="L69" s="17"/>
      <c r="M69" s="17"/>
      <c r="N69" s="17"/>
      <c r="O69" s="19">
        <f t="shared" si="12"/>
        <v>0</v>
      </c>
      <c r="P69" s="17"/>
      <c r="Q69" s="27"/>
      <c r="R69" s="27"/>
      <c r="S69" s="27"/>
      <c r="T69" s="27"/>
      <c r="U69" s="27"/>
      <c r="V69" s="27"/>
      <c r="W69" s="67" t="s">
        <v>343</v>
      </c>
      <c r="X69" s="27" t="s">
        <v>345</v>
      </c>
    </row>
    <row r="70" spans="1:24" s="2" customFormat="1" ht="39.9" customHeight="1" x14ac:dyDescent="0.4">
      <c r="A70" s="17" t="s">
        <v>43</v>
      </c>
      <c r="B70" s="24" t="s">
        <v>346</v>
      </c>
      <c r="C70" s="18" t="s">
        <v>347</v>
      </c>
      <c r="D70" s="18" t="s">
        <v>46</v>
      </c>
      <c r="E70" s="17"/>
      <c r="F70" s="17"/>
      <c r="G70" s="17"/>
      <c r="H70" s="17"/>
      <c r="I70" s="19">
        <f t="shared" si="11"/>
        <v>0</v>
      </c>
      <c r="J70" s="19"/>
      <c r="K70" s="17"/>
      <c r="L70" s="17"/>
      <c r="M70" s="17"/>
      <c r="N70" s="17"/>
      <c r="O70" s="19">
        <f t="shared" si="12"/>
        <v>0</v>
      </c>
      <c r="P70" s="17"/>
      <c r="Q70" s="27"/>
      <c r="R70" s="27"/>
      <c r="S70" s="27"/>
      <c r="T70" s="27"/>
      <c r="U70" s="27"/>
      <c r="V70" s="27"/>
      <c r="W70" s="67" t="s">
        <v>346</v>
      </c>
      <c r="X70" s="27" t="s">
        <v>348</v>
      </c>
    </row>
    <row r="71" spans="1:24" s="2" customFormat="1" ht="39.9" customHeight="1" x14ac:dyDescent="0.4">
      <c r="A71" s="17" t="s">
        <v>43</v>
      </c>
      <c r="B71" s="24" t="s">
        <v>349</v>
      </c>
      <c r="C71" s="18" t="s">
        <v>350</v>
      </c>
      <c r="D71" s="18" t="s">
        <v>46</v>
      </c>
      <c r="E71" s="17"/>
      <c r="F71" s="17"/>
      <c r="G71" s="17"/>
      <c r="H71" s="17"/>
      <c r="I71" s="19">
        <f t="shared" si="11"/>
        <v>0</v>
      </c>
      <c r="J71" s="19"/>
      <c r="K71" s="17"/>
      <c r="L71" s="17"/>
      <c r="M71" s="17"/>
      <c r="N71" s="17"/>
      <c r="O71" s="19">
        <f t="shared" si="12"/>
        <v>0</v>
      </c>
      <c r="P71" s="17"/>
      <c r="Q71" s="27"/>
      <c r="R71" s="27"/>
      <c r="S71" s="27"/>
      <c r="T71" s="27"/>
      <c r="U71" s="27"/>
      <c r="V71" s="27"/>
      <c r="W71" s="67" t="s">
        <v>349</v>
      </c>
      <c r="X71" s="27" t="s">
        <v>351</v>
      </c>
    </row>
    <row r="72" spans="1:24" s="2" customFormat="1" ht="39.9" customHeight="1" x14ac:dyDescent="0.4">
      <c r="A72" s="17" t="s">
        <v>43</v>
      </c>
      <c r="B72" s="24" t="s">
        <v>352</v>
      </c>
      <c r="C72" s="18" t="s">
        <v>353</v>
      </c>
      <c r="D72" s="18" t="s">
        <v>46</v>
      </c>
      <c r="E72" s="17"/>
      <c r="F72" s="17"/>
      <c r="G72" s="17"/>
      <c r="H72" s="17"/>
      <c r="I72" s="19">
        <f t="shared" si="11"/>
        <v>0</v>
      </c>
      <c r="J72" s="19"/>
      <c r="K72" s="17"/>
      <c r="L72" s="17"/>
      <c r="M72" s="17"/>
      <c r="N72" s="17"/>
      <c r="O72" s="19">
        <f t="shared" si="12"/>
        <v>0</v>
      </c>
      <c r="P72" s="17"/>
      <c r="Q72" s="27"/>
      <c r="R72" s="27"/>
      <c r="S72" s="27"/>
      <c r="T72" s="27"/>
      <c r="U72" s="27"/>
      <c r="V72" s="27"/>
      <c r="W72" s="67" t="s">
        <v>352</v>
      </c>
      <c r="X72" s="27" t="s">
        <v>354</v>
      </c>
    </row>
    <row r="73" spans="1:24" s="2" customFormat="1" ht="39.9" customHeight="1" x14ac:dyDescent="0.4">
      <c r="A73" s="17" t="s">
        <v>43</v>
      </c>
      <c r="B73" s="24" t="s">
        <v>355</v>
      </c>
      <c r="C73" s="18" t="s">
        <v>356</v>
      </c>
      <c r="D73" s="18" t="s">
        <v>46</v>
      </c>
      <c r="E73" s="17"/>
      <c r="F73" s="17"/>
      <c r="G73" s="17"/>
      <c r="H73" s="17"/>
      <c r="I73" s="19">
        <f t="shared" si="11"/>
        <v>0</v>
      </c>
      <c r="J73" s="19"/>
      <c r="K73" s="17"/>
      <c r="L73" s="17"/>
      <c r="M73" s="17"/>
      <c r="N73" s="17"/>
      <c r="O73" s="19">
        <f t="shared" si="12"/>
        <v>0</v>
      </c>
      <c r="P73" s="17"/>
      <c r="Q73" s="27"/>
      <c r="R73" s="27"/>
      <c r="S73" s="27"/>
      <c r="T73" s="27"/>
      <c r="U73" s="27"/>
      <c r="V73" s="27"/>
      <c r="W73" s="67" t="s">
        <v>355</v>
      </c>
      <c r="X73" s="27" t="s">
        <v>357</v>
      </c>
    </row>
    <row r="74" spans="1:24" s="2" customFormat="1" ht="39.9" customHeight="1" x14ac:dyDescent="0.4">
      <c r="A74" s="17" t="s">
        <v>43</v>
      </c>
      <c r="B74" s="24" t="s">
        <v>358</v>
      </c>
      <c r="C74" s="18" t="s">
        <v>359</v>
      </c>
      <c r="D74" s="18" t="s">
        <v>46</v>
      </c>
      <c r="E74" s="17"/>
      <c r="F74" s="17"/>
      <c r="G74" s="17"/>
      <c r="H74" s="17"/>
      <c r="I74" s="19">
        <f t="shared" si="11"/>
        <v>0</v>
      </c>
      <c r="J74" s="19"/>
      <c r="K74" s="17"/>
      <c r="L74" s="17"/>
      <c r="M74" s="17"/>
      <c r="N74" s="17"/>
      <c r="O74" s="19">
        <f t="shared" si="12"/>
        <v>0</v>
      </c>
      <c r="P74" s="17"/>
      <c r="Q74" s="27"/>
      <c r="R74" s="27"/>
      <c r="S74" s="27"/>
      <c r="T74" s="27"/>
      <c r="U74" s="27"/>
      <c r="V74" s="27"/>
      <c r="W74" s="67" t="s">
        <v>358</v>
      </c>
      <c r="X74" s="27" t="s">
        <v>360</v>
      </c>
    </row>
    <row r="75" spans="1:24" s="2" customFormat="1" ht="39.9" customHeight="1" x14ac:dyDescent="0.4">
      <c r="A75" s="17" t="s">
        <v>43</v>
      </c>
      <c r="B75" s="24" t="s">
        <v>361</v>
      </c>
      <c r="C75" s="18" t="s">
        <v>362</v>
      </c>
      <c r="D75" s="18" t="s">
        <v>46</v>
      </c>
      <c r="E75" s="17"/>
      <c r="F75" s="17"/>
      <c r="G75" s="17"/>
      <c r="H75" s="17"/>
      <c r="I75" s="19">
        <f t="shared" si="11"/>
        <v>0</v>
      </c>
      <c r="J75" s="19"/>
      <c r="K75" s="17"/>
      <c r="L75" s="17"/>
      <c r="M75" s="17"/>
      <c r="N75" s="17"/>
      <c r="O75" s="19">
        <f t="shared" si="12"/>
        <v>0</v>
      </c>
      <c r="P75" s="17"/>
      <c r="Q75" s="27"/>
      <c r="R75" s="27"/>
      <c r="S75" s="27"/>
      <c r="T75" s="27"/>
      <c r="U75" s="27"/>
      <c r="V75" s="27"/>
      <c r="W75" s="67" t="s">
        <v>361</v>
      </c>
      <c r="X75" s="27" t="s">
        <v>363</v>
      </c>
    </row>
    <row r="76" spans="1:24" s="2" customFormat="1" ht="39.9" customHeight="1" x14ac:dyDescent="0.4">
      <c r="A76" s="17" t="s">
        <v>43</v>
      </c>
      <c r="B76" s="24" t="s">
        <v>364</v>
      </c>
      <c r="C76" s="18" t="s">
        <v>365</v>
      </c>
      <c r="D76" s="18" t="s">
        <v>46</v>
      </c>
      <c r="E76" s="17"/>
      <c r="F76" s="17"/>
      <c r="G76" s="17"/>
      <c r="H76" s="17"/>
      <c r="I76" s="19">
        <f t="shared" si="11"/>
        <v>0</v>
      </c>
      <c r="J76" s="19"/>
      <c r="K76" s="17"/>
      <c r="L76" s="17"/>
      <c r="M76" s="17"/>
      <c r="N76" s="17"/>
      <c r="O76" s="19">
        <f t="shared" si="12"/>
        <v>0</v>
      </c>
      <c r="P76" s="17"/>
      <c r="Q76" s="27"/>
      <c r="R76" s="27"/>
      <c r="S76" s="27"/>
      <c r="T76" s="27"/>
      <c r="U76" s="27"/>
      <c r="V76" s="27"/>
      <c r="W76" s="67" t="s">
        <v>364</v>
      </c>
      <c r="X76" s="27" t="s">
        <v>366</v>
      </c>
    </row>
    <row r="77" spans="1:24" s="2" customFormat="1" ht="39.9" customHeight="1" x14ac:dyDescent="0.4">
      <c r="A77" s="17" t="s">
        <v>43</v>
      </c>
      <c r="B77" s="24"/>
      <c r="C77" s="18"/>
      <c r="D77" s="18"/>
      <c r="E77" s="17"/>
      <c r="F77" s="17"/>
      <c r="G77" s="17"/>
      <c r="H77" s="17"/>
      <c r="I77" s="19">
        <f t="shared" si="11"/>
        <v>0</v>
      </c>
      <c r="J77" s="19"/>
      <c r="K77" s="17"/>
      <c r="L77" s="17"/>
      <c r="M77" s="17"/>
      <c r="N77" s="17"/>
      <c r="O77" s="19">
        <f t="shared" si="12"/>
        <v>0</v>
      </c>
      <c r="P77" s="17"/>
      <c r="Q77" s="27"/>
      <c r="R77" s="27"/>
      <c r="S77" s="27"/>
      <c r="T77" s="27"/>
      <c r="U77" s="27"/>
      <c r="V77" s="27"/>
      <c r="W77" s="67" t="s">
        <v>290</v>
      </c>
      <c r="X77" s="27" t="s">
        <v>367</v>
      </c>
    </row>
    <row r="78" spans="1:24" s="2" customFormat="1" ht="39.9" customHeight="1" x14ac:dyDescent="0.4">
      <c r="A78" s="17" t="s">
        <v>43</v>
      </c>
      <c r="B78" s="24"/>
      <c r="C78" s="18"/>
      <c r="D78" s="18"/>
      <c r="E78" s="17"/>
      <c r="F78" s="17"/>
      <c r="G78" s="17"/>
      <c r="H78" s="17"/>
      <c r="I78" s="19">
        <f t="shared" si="11"/>
        <v>0</v>
      </c>
      <c r="J78" s="19"/>
      <c r="K78" s="17"/>
      <c r="L78" s="17"/>
      <c r="M78" s="17"/>
      <c r="N78" s="17"/>
      <c r="O78" s="19">
        <f t="shared" si="12"/>
        <v>0</v>
      </c>
      <c r="P78" s="17"/>
      <c r="Q78" s="27"/>
      <c r="R78" s="27"/>
      <c r="S78" s="27"/>
      <c r="T78" s="27"/>
      <c r="U78" s="27"/>
      <c r="V78" s="27"/>
      <c r="W78" s="67" t="s">
        <v>292</v>
      </c>
      <c r="X78" s="27" t="s">
        <v>368</v>
      </c>
    </row>
    <row r="79" spans="1:24" s="2" customFormat="1" ht="39.9" customHeight="1" x14ac:dyDescent="0.4">
      <c r="A79" s="17" t="s">
        <v>43</v>
      </c>
      <c r="B79" s="24"/>
      <c r="C79" s="18"/>
      <c r="D79" s="18"/>
      <c r="E79" s="17"/>
      <c r="F79" s="17"/>
      <c r="G79" s="17"/>
      <c r="H79" s="17"/>
      <c r="I79" s="19">
        <f t="shared" si="11"/>
        <v>0</v>
      </c>
      <c r="J79" s="19"/>
      <c r="K79" s="17"/>
      <c r="L79" s="17"/>
      <c r="M79" s="17"/>
      <c r="N79" s="17"/>
      <c r="O79" s="19">
        <f t="shared" si="12"/>
        <v>0</v>
      </c>
      <c r="P79" s="17"/>
      <c r="Q79" s="27"/>
      <c r="R79" s="27"/>
      <c r="S79" s="27"/>
      <c r="T79" s="27"/>
      <c r="U79" s="27"/>
      <c r="V79" s="27"/>
      <c r="W79" s="67"/>
      <c r="X79" s="27"/>
    </row>
    <row r="80" spans="1:24" s="2" customFormat="1" ht="39.9" customHeight="1" x14ac:dyDescent="0.4">
      <c r="A80" s="17" t="s">
        <v>43</v>
      </c>
      <c r="B80" s="24"/>
      <c r="C80" s="18"/>
      <c r="D80" s="18"/>
      <c r="E80" s="17"/>
      <c r="F80" s="17"/>
      <c r="G80" s="17"/>
      <c r="H80" s="17"/>
      <c r="I80" s="19">
        <f t="shared" si="11"/>
        <v>0</v>
      </c>
      <c r="J80" s="19"/>
      <c r="K80" s="17"/>
      <c r="L80" s="17"/>
      <c r="M80" s="17"/>
      <c r="N80" s="17"/>
      <c r="O80" s="19">
        <f t="shared" si="12"/>
        <v>0</v>
      </c>
      <c r="P80" s="17"/>
      <c r="Q80" s="27"/>
      <c r="R80" s="27"/>
      <c r="S80" s="27"/>
      <c r="T80" s="27"/>
      <c r="U80" s="27"/>
      <c r="V80" s="27"/>
      <c r="W80" s="67"/>
      <c r="X80" s="27"/>
    </row>
    <row r="81" spans="1:24" s="2" customFormat="1" ht="39.9" customHeight="1" x14ac:dyDescent="0.4">
      <c r="A81" s="17" t="s">
        <v>43</v>
      </c>
      <c r="B81" s="24"/>
      <c r="C81" s="18"/>
      <c r="D81" s="18"/>
      <c r="E81" s="17"/>
      <c r="F81" s="17"/>
      <c r="G81" s="17"/>
      <c r="H81" s="17"/>
      <c r="I81" s="19">
        <f t="shared" si="11"/>
        <v>0</v>
      </c>
      <c r="J81" s="19"/>
      <c r="K81" s="17"/>
      <c r="L81" s="17"/>
      <c r="M81" s="17"/>
      <c r="N81" s="17"/>
      <c r="O81" s="19">
        <f t="shared" si="12"/>
        <v>0</v>
      </c>
      <c r="P81" s="17"/>
      <c r="Q81" s="27"/>
      <c r="R81" s="27"/>
      <c r="S81" s="27"/>
      <c r="T81" s="27"/>
      <c r="U81" s="27"/>
      <c r="V81" s="27"/>
      <c r="W81" s="67"/>
      <c r="X81" s="27"/>
    </row>
    <row r="82" spans="1:24" s="2" customFormat="1" ht="39.9" customHeight="1" x14ac:dyDescent="0.4">
      <c r="A82" s="17" t="s">
        <v>43</v>
      </c>
      <c r="B82" s="24"/>
      <c r="C82" s="18"/>
      <c r="D82" s="18"/>
      <c r="E82" s="17"/>
      <c r="F82" s="17"/>
      <c r="G82" s="17"/>
      <c r="H82" s="17"/>
      <c r="I82" s="19">
        <f t="shared" si="11"/>
        <v>0</v>
      </c>
      <c r="J82" s="19"/>
      <c r="K82" s="17"/>
      <c r="L82" s="17"/>
      <c r="M82" s="17"/>
      <c r="N82" s="17"/>
      <c r="O82" s="19">
        <f t="shared" si="12"/>
        <v>0</v>
      </c>
      <c r="P82" s="17"/>
      <c r="Q82" s="27"/>
      <c r="R82" s="27"/>
      <c r="S82" s="27"/>
      <c r="T82" s="27"/>
      <c r="U82" s="27"/>
      <c r="V82" s="27"/>
      <c r="W82" s="67"/>
      <c r="X82" s="27"/>
    </row>
    <row r="83" spans="1:24" s="2" customFormat="1" ht="39.9" customHeight="1" x14ac:dyDescent="0.4">
      <c r="A83" s="17" t="s">
        <v>43</v>
      </c>
      <c r="B83" s="24"/>
      <c r="C83" s="18"/>
      <c r="D83" s="18"/>
      <c r="E83" s="17"/>
      <c r="F83" s="17"/>
      <c r="G83" s="17"/>
      <c r="H83" s="17"/>
      <c r="I83" s="19">
        <f t="shared" si="11"/>
        <v>0</v>
      </c>
      <c r="J83" s="19"/>
      <c r="K83" s="17"/>
      <c r="L83" s="17"/>
      <c r="M83" s="17"/>
      <c r="N83" s="17"/>
      <c r="O83" s="19">
        <f t="shared" si="12"/>
        <v>0</v>
      </c>
      <c r="P83" s="17"/>
      <c r="Q83" s="27"/>
      <c r="R83" s="27"/>
      <c r="S83" s="27"/>
      <c r="T83" s="27"/>
      <c r="U83" s="27"/>
      <c r="V83" s="27"/>
      <c r="W83" s="67"/>
      <c r="X83" s="27"/>
    </row>
    <row r="84" spans="1:24" s="2" customFormat="1" ht="39.9" customHeight="1" x14ac:dyDescent="0.4">
      <c r="A84" s="17" t="s">
        <v>43</v>
      </c>
      <c r="B84" s="24"/>
      <c r="C84" s="18"/>
      <c r="D84" s="18"/>
      <c r="E84" s="17"/>
      <c r="F84" s="17"/>
      <c r="G84" s="17"/>
      <c r="H84" s="17"/>
      <c r="I84" s="19">
        <f t="shared" si="11"/>
        <v>0</v>
      </c>
      <c r="J84" s="19"/>
      <c r="K84" s="17"/>
      <c r="L84" s="17"/>
      <c r="M84" s="17"/>
      <c r="N84" s="17"/>
      <c r="O84" s="19">
        <f t="shared" si="12"/>
        <v>0</v>
      </c>
      <c r="P84" s="17"/>
      <c r="Q84" s="27"/>
      <c r="R84" s="27"/>
      <c r="S84" s="27"/>
      <c r="T84" s="27"/>
      <c r="U84" s="27"/>
      <c r="V84" s="27"/>
      <c r="W84" s="67"/>
      <c r="X84" s="27"/>
    </row>
    <row r="85" spans="1:24" s="2" customFormat="1" ht="39.9" customHeight="1" x14ac:dyDescent="0.4">
      <c r="A85" s="17" t="s">
        <v>43</v>
      </c>
      <c r="B85" s="24"/>
      <c r="C85" s="18"/>
      <c r="D85" s="18"/>
      <c r="E85" s="17"/>
      <c r="F85" s="17"/>
      <c r="G85" s="17"/>
      <c r="H85" s="17"/>
      <c r="I85" s="19">
        <f t="shared" si="11"/>
        <v>0</v>
      </c>
      <c r="J85" s="19"/>
      <c r="K85" s="17"/>
      <c r="L85" s="17"/>
      <c r="M85" s="17"/>
      <c r="N85" s="17"/>
      <c r="O85" s="19">
        <f t="shared" si="12"/>
        <v>0</v>
      </c>
      <c r="P85" s="17"/>
      <c r="Q85" s="27"/>
      <c r="R85" s="27"/>
      <c r="S85" s="27"/>
      <c r="T85" s="27"/>
      <c r="U85" s="27"/>
      <c r="V85" s="27"/>
      <c r="W85" s="67"/>
      <c r="X85" s="27"/>
    </row>
    <row r="86" spans="1:24" s="2" customFormat="1" ht="39.9" customHeight="1" x14ac:dyDescent="0.4">
      <c r="A86" s="17" t="s">
        <v>43</v>
      </c>
      <c r="B86" s="24"/>
      <c r="C86" s="18"/>
      <c r="D86" s="18"/>
      <c r="E86" s="17"/>
      <c r="F86" s="17"/>
      <c r="G86" s="17"/>
      <c r="H86" s="17"/>
      <c r="I86" s="19">
        <f t="shared" si="11"/>
        <v>0</v>
      </c>
      <c r="J86" s="19"/>
      <c r="K86" s="17"/>
      <c r="L86" s="17"/>
      <c r="M86" s="17"/>
      <c r="N86" s="17"/>
      <c r="O86" s="19">
        <f t="shared" si="12"/>
        <v>0</v>
      </c>
      <c r="P86" s="17"/>
      <c r="Q86" s="27"/>
      <c r="R86" s="27"/>
      <c r="S86" s="27"/>
      <c r="T86" s="27"/>
      <c r="U86" s="27"/>
      <c r="V86" s="27"/>
      <c r="W86" s="67"/>
      <c r="X86" s="27"/>
    </row>
    <row r="87" spans="1:24" s="2" customFormat="1" ht="39.9" customHeight="1" x14ac:dyDescent="0.4">
      <c r="A87" s="17" t="s">
        <v>43</v>
      </c>
      <c r="B87" s="24"/>
      <c r="C87" s="18"/>
      <c r="D87" s="18"/>
      <c r="E87" s="17"/>
      <c r="F87" s="17"/>
      <c r="G87" s="17"/>
      <c r="H87" s="17"/>
      <c r="I87" s="19">
        <f t="shared" si="11"/>
        <v>0</v>
      </c>
      <c r="J87" s="19"/>
      <c r="K87" s="17"/>
      <c r="L87" s="17"/>
      <c r="M87" s="17"/>
      <c r="N87" s="17"/>
      <c r="O87" s="19">
        <f t="shared" si="12"/>
        <v>0</v>
      </c>
      <c r="P87" s="17"/>
      <c r="Q87" s="27"/>
      <c r="R87" s="27"/>
      <c r="S87" s="27"/>
      <c r="T87" s="27"/>
      <c r="U87" s="27"/>
      <c r="V87" s="27"/>
      <c r="W87" s="67"/>
      <c r="X87" s="27"/>
    </row>
    <row r="88" spans="1:24" s="2" customFormat="1" ht="39.9" customHeight="1" x14ac:dyDescent="0.4">
      <c r="A88" s="17" t="s">
        <v>43</v>
      </c>
      <c r="B88" s="24"/>
      <c r="C88" s="18"/>
      <c r="D88" s="18"/>
      <c r="E88" s="17"/>
      <c r="F88" s="17"/>
      <c r="G88" s="17"/>
      <c r="H88" s="17"/>
      <c r="I88" s="19">
        <f t="shared" si="11"/>
        <v>0</v>
      </c>
      <c r="J88" s="19"/>
      <c r="K88" s="17"/>
      <c r="L88" s="17"/>
      <c r="M88" s="17"/>
      <c r="N88" s="17"/>
      <c r="O88" s="19">
        <f t="shared" si="12"/>
        <v>0</v>
      </c>
      <c r="P88" s="17"/>
      <c r="Q88" s="27"/>
      <c r="R88" s="27"/>
      <c r="S88" s="27"/>
      <c r="T88" s="27"/>
      <c r="U88" s="27"/>
      <c r="V88" s="27"/>
      <c r="W88" s="67"/>
      <c r="X88" s="27"/>
    </row>
    <row r="89" spans="1:24" s="2" customFormat="1" ht="39.9" customHeight="1" x14ac:dyDescent="0.4">
      <c r="A89" s="17" t="s">
        <v>43</v>
      </c>
      <c r="B89" s="24"/>
      <c r="C89" s="18"/>
      <c r="D89" s="18"/>
      <c r="E89" s="17"/>
      <c r="F89" s="17"/>
      <c r="G89" s="17"/>
      <c r="H89" s="17"/>
      <c r="I89" s="19">
        <f t="shared" si="11"/>
        <v>0</v>
      </c>
      <c r="J89" s="19"/>
      <c r="K89" s="17"/>
      <c r="L89" s="17"/>
      <c r="M89" s="17"/>
      <c r="N89" s="17"/>
      <c r="O89" s="19">
        <f t="shared" si="12"/>
        <v>0</v>
      </c>
      <c r="P89" s="17"/>
      <c r="Q89" s="27"/>
      <c r="R89" s="27"/>
      <c r="S89" s="27"/>
      <c r="T89" s="27"/>
      <c r="U89" s="27"/>
      <c r="V89" s="27"/>
      <c r="W89" s="67"/>
      <c r="X89" s="27"/>
    </row>
    <row r="90" spans="1:24" s="2" customFormat="1" ht="39.9" customHeight="1" x14ac:dyDescent="0.4">
      <c r="A90" s="95" t="s">
        <v>106</v>
      </c>
      <c r="B90" s="96"/>
      <c r="C90" s="96"/>
      <c r="D90" s="97"/>
      <c r="E90" s="7">
        <f t="shared" ref="E90:O90" si="13">SUM(E62:E89)</f>
        <v>0</v>
      </c>
      <c r="F90" s="7">
        <f t="shared" si="13"/>
        <v>0</v>
      </c>
      <c r="G90" s="7">
        <f t="shared" si="13"/>
        <v>0</v>
      </c>
      <c r="H90" s="7">
        <f t="shared" si="13"/>
        <v>0</v>
      </c>
      <c r="I90" s="7">
        <f t="shared" si="13"/>
        <v>0</v>
      </c>
      <c r="J90" s="7">
        <f t="shared" si="13"/>
        <v>0</v>
      </c>
      <c r="K90" s="7">
        <f t="shared" si="13"/>
        <v>0</v>
      </c>
      <c r="L90" s="7">
        <f t="shared" si="13"/>
        <v>0</v>
      </c>
      <c r="M90" s="7">
        <f t="shared" si="13"/>
        <v>0</v>
      </c>
      <c r="N90" s="7">
        <f t="shared" si="13"/>
        <v>0</v>
      </c>
      <c r="O90" s="7">
        <f t="shared" si="13"/>
        <v>0</v>
      </c>
      <c r="P90" s="7"/>
      <c r="Q90" s="7"/>
      <c r="R90" s="7"/>
      <c r="S90" s="7"/>
      <c r="T90" s="7"/>
      <c r="U90" s="7"/>
      <c r="V90" s="7"/>
      <c r="W90" s="62"/>
      <c r="X90" s="7"/>
    </row>
    <row r="91" spans="1:24" s="2" customFormat="1" ht="28.5" customHeight="1" x14ac:dyDescent="0.4">
      <c r="A91" s="44"/>
      <c r="B91" s="122" t="s">
        <v>294</v>
      </c>
      <c r="C91" s="122"/>
      <c r="D91" s="123"/>
      <c r="E91" s="45">
        <f>SUM(E90)-K90</f>
        <v>0</v>
      </c>
      <c r="F91" s="45">
        <f>SUM(F90-L90)</f>
        <v>0</v>
      </c>
      <c r="G91" s="45">
        <f>SUM(G90-M90)</f>
        <v>0</v>
      </c>
      <c r="H91" s="45">
        <f>SUM(H90-N90)</f>
        <v>0</v>
      </c>
      <c r="I91" s="45">
        <f>SUM(I90-O90)</f>
        <v>0</v>
      </c>
      <c r="J91" s="88" t="s">
        <v>107</v>
      </c>
      <c r="K91" s="43"/>
      <c r="L91" s="43"/>
      <c r="M91" s="43"/>
      <c r="N91" s="43"/>
      <c r="O91" s="43"/>
      <c r="P91" s="7"/>
      <c r="Q91" s="7"/>
      <c r="R91" s="7"/>
      <c r="S91" s="7"/>
      <c r="T91" s="7"/>
      <c r="U91" s="7"/>
      <c r="V91" s="7"/>
      <c r="W91" s="62"/>
      <c r="X91" s="7"/>
    </row>
    <row r="92" spans="1:24" s="2" customFormat="1" ht="37.5" customHeight="1" x14ac:dyDescent="0.4">
      <c r="A92" s="44"/>
      <c r="B92" s="122" t="s">
        <v>295</v>
      </c>
      <c r="C92" s="122"/>
      <c r="D92" s="123"/>
      <c r="E92" s="47" t="e">
        <f>(E90-E91)/E90</f>
        <v>#DIV/0!</v>
      </c>
      <c r="F92" s="47" t="e">
        <f t="shared" ref="F92:I92" si="14">(F90-F91)/F90</f>
        <v>#DIV/0!</v>
      </c>
      <c r="G92" s="47" t="e">
        <f t="shared" si="14"/>
        <v>#DIV/0!</v>
      </c>
      <c r="H92" s="47" t="e">
        <f t="shared" si="14"/>
        <v>#DIV/0!</v>
      </c>
      <c r="I92" s="47" t="e">
        <f t="shared" si="14"/>
        <v>#DIV/0!</v>
      </c>
      <c r="J92" s="80" t="e">
        <f>J90/(I90-H90)</f>
        <v>#DIV/0!</v>
      </c>
      <c r="K92" s="43"/>
      <c r="L92" s="43"/>
      <c r="M92" s="43"/>
      <c r="N92" s="43"/>
      <c r="O92" s="43"/>
      <c r="P92" s="7"/>
      <c r="Q92" s="7"/>
      <c r="R92" s="7"/>
      <c r="S92" s="7"/>
      <c r="T92" s="7"/>
      <c r="U92" s="7"/>
      <c r="V92" s="7"/>
      <c r="W92" s="62"/>
      <c r="X92" s="7"/>
    </row>
    <row r="93" spans="1:24" s="2" customFormat="1" ht="39.9" customHeight="1" x14ac:dyDescent="0.4">
      <c r="A93" s="36" t="s">
        <v>108</v>
      </c>
      <c r="B93" s="37" t="e">
        <f>SUM(P93)/P95*100</f>
        <v>#DIV/0!</v>
      </c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29" t="s">
        <v>109</v>
      </c>
      <c r="O93" s="30"/>
      <c r="P93" s="38">
        <f>SUM(Q93:X93)</f>
        <v>0</v>
      </c>
      <c r="Q93" s="28">
        <f t="shared" ref="Q93:V93" si="15">SUM(Q62:Q64)</f>
        <v>0</v>
      </c>
      <c r="R93" s="28">
        <f t="shared" si="15"/>
        <v>0</v>
      </c>
      <c r="S93" s="28">
        <f t="shared" si="15"/>
        <v>0</v>
      </c>
      <c r="T93" s="28">
        <f t="shared" si="15"/>
        <v>0</v>
      </c>
      <c r="U93" s="28">
        <f t="shared" si="15"/>
        <v>0</v>
      </c>
      <c r="V93" s="28">
        <f t="shared" si="15"/>
        <v>0</v>
      </c>
      <c r="W93" s="63"/>
      <c r="X93" s="28"/>
    </row>
    <row r="94" spans="1:24" s="2" customFormat="1" ht="39.9" customHeight="1" x14ac:dyDescent="0.4">
      <c r="A94" s="36" t="s">
        <v>110</v>
      </c>
      <c r="B94" s="37" t="e">
        <f>SUM(P94)/P95*100</f>
        <v>#DIV/0!</v>
      </c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29" t="s">
        <v>111</v>
      </c>
      <c r="O94" s="30"/>
      <c r="P94" s="38">
        <f>SUM(Q94:X94)</f>
        <v>0</v>
      </c>
      <c r="Q94" s="28">
        <f>SUM(Q65:Q89)</f>
        <v>0</v>
      </c>
      <c r="R94" s="28">
        <f t="shared" ref="R94:U94" si="16">SUM(R65:R89)</f>
        <v>0</v>
      </c>
      <c r="S94" s="28">
        <f t="shared" si="16"/>
        <v>0</v>
      </c>
      <c r="T94" s="28">
        <f t="shared" si="16"/>
        <v>0</v>
      </c>
      <c r="U94" s="28">
        <f t="shared" si="16"/>
        <v>0</v>
      </c>
      <c r="V94" s="28">
        <f t="shared" ref="V94" si="17">SUM(V65:V89)</f>
        <v>0</v>
      </c>
      <c r="W94" s="63"/>
      <c r="X94" s="28"/>
    </row>
    <row r="95" spans="1:24" s="2" customFormat="1" ht="39.9" customHeight="1" x14ac:dyDescent="0.4">
      <c r="A95" s="29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29" t="s">
        <v>112</v>
      </c>
      <c r="O95" s="30"/>
      <c r="P95" s="38">
        <f>SUM(Q95:X95)</f>
        <v>0</v>
      </c>
      <c r="Q95" s="28">
        <f>SUM(Q93:Q94)</f>
        <v>0</v>
      </c>
      <c r="R95" s="28">
        <f t="shared" ref="R95:U95" si="18">SUM(R93:R94)</f>
        <v>0</v>
      </c>
      <c r="S95" s="28">
        <f t="shared" si="18"/>
        <v>0</v>
      </c>
      <c r="T95" s="28">
        <f t="shared" si="18"/>
        <v>0</v>
      </c>
      <c r="U95" s="28">
        <f t="shared" si="18"/>
        <v>0</v>
      </c>
      <c r="V95" s="28">
        <f t="shared" ref="V95" si="19">SUM(V93:V94)</f>
        <v>0</v>
      </c>
      <c r="W95" s="63"/>
      <c r="X95" s="28"/>
    </row>
    <row r="96" spans="1:24" s="2" customFormat="1" ht="36" customHeight="1" x14ac:dyDescent="0.4">
      <c r="A96" s="32"/>
      <c r="B96" s="94" t="s">
        <v>113</v>
      </c>
      <c r="C96" s="94"/>
      <c r="D96" s="94"/>
      <c r="E96" s="94"/>
      <c r="F96" s="94"/>
      <c r="G96" s="94"/>
      <c r="H96" s="94"/>
      <c r="I96" s="94"/>
      <c r="J96" s="94"/>
      <c r="K96" s="94"/>
      <c r="L96" s="94"/>
      <c r="M96" s="94"/>
      <c r="N96" s="94"/>
      <c r="O96" s="33"/>
      <c r="P96" s="31">
        <f>SUM(Q96:X96)</f>
        <v>30</v>
      </c>
      <c r="Q96" s="28">
        <v>5</v>
      </c>
      <c r="R96" s="28">
        <v>5</v>
      </c>
      <c r="S96" s="28">
        <v>5</v>
      </c>
      <c r="T96" s="28">
        <v>5</v>
      </c>
      <c r="U96" s="28">
        <v>5</v>
      </c>
      <c r="V96" s="28">
        <v>5</v>
      </c>
      <c r="W96" s="63"/>
      <c r="X96" s="28"/>
    </row>
    <row r="97" spans="1:24" s="2" customFormat="1" ht="36" customHeight="1" x14ac:dyDescent="0.4">
      <c r="A97" s="93" t="s">
        <v>369</v>
      </c>
      <c r="B97" s="94"/>
      <c r="C97" s="94"/>
      <c r="D97" s="94"/>
      <c r="E97" s="94"/>
      <c r="F97" s="94"/>
      <c r="G97" s="94"/>
      <c r="H97" s="94"/>
      <c r="I97" s="94"/>
      <c r="J97" s="94"/>
      <c r="K97" s="94"/>
      <c r="L97" s="94"/>
      <c r="M97" s="94"/>
      <c r="N97" s="94"/>
      <c r="O97" s="33"/>
      <c r="P97" s="31"/>
      <c r="Q97" s="31" t="e">
        <f>SUM(Q93)/Q95*100</f>
        <v>#DIV/0!</v>
      </c>
      <c r="R97" s="31" t="e">
        <f t="shared" ref="R97:V97" si="20">SUM(R93)/R95*100</f>
        <v>#DIV/0!</v>
      </c>
      <c r="S97" s="31" t="e">
        <f t="shared" si="20"/>
        <v>#DIV/0!</v>
      </c>
      <c r="T97" s="31" t="e">
        <f t="shared" si="20"/>
        <v>#DIV/0!</v>
      </c>
      <c r="U97" s="31" t="e">
        <f t="shared" si="20"/>
        <v>#DIV/0!</v>
      </c>
      <c r="V97" s="31" t="e">
        <f t="shared" si="20"/>
        <v>#DIV/0!</v>
      </c>
      <c r="W97" s="63"/>
      <c r="X97" s="28"/>
    </row>
    <row r="98" spans="1:24" s="2" customFormat="1" ht="36" customHeight="1" x14ac:dyDescent="0.4">
      <c r="A98" s="93" t="s">
        <v>370</v>
      </c>
      <c r="B98" s="94"/>
      <c r="C98" s="94"/>
      <c r="D98" s="94"/>
      <c r="E98" s="94"/>
      <c r="F98" s="94"/>
      <c r="G98" s="94"/>
      <c r="H98" s="94"/>
      <c r="I98" s="94"/>
      <c r="J98" s="94"/>
      <c r="K98" s="94"/>
      <c r="L98" s="94"/>
      <c r="M98" s="94"/>
      <c r="N98" s="94"/>
      <c r="O98" s="33"/>
      <c r="P98" s="31"/>
      <c r="Q98" s="31" t="e">
        <f>SUM(Q94)/Q95*100</f>
        <v>#DIV/0!</v>
      </c>
      <c r="R98" s="31" t="e">
        <f t="shared" ref="R98:V98" si="21">SUM(R94)/R95*100</f>
        <v>#DIV/0!</v>
      </c>
      <c r="S98" s="31" t="e">
        <f t="shared" si="21"/>
        <v>#DIV/0!</v>
      </c>
      <c r="T98" s="31" t="e">
        <f t="shared" si="21"/>
        <v>#DIV/0!</v>
      </c>
      <c r="U98" s="31" t="e">
        <f t="shared" si="21"/>
        <v>#DIV/0!</v>
      </c>
      <c r="V98" s="31" t="e">
        <f t="shared" si="21"/>
        <v>#DIV/0!</v>
      </c>
      <c r="W98" s="63"/>
      <c r="X98" s="28"/>
    </row>
    <row r="99" spans="1:24" s="2" customFormat="1" ht="36" customHeight="1" x14ac:dyDescent="0.4">
      <c r="A99" s="32"/>
      <c r="B99" s="94"/>
      <c r="C99" s="94"/>
      <c r="D99" s="94"/>
      <c r="E99" s="94"/>
      <c r="F99" s="94"/>
      <c r="G99" s="94"/>
      <c r="H99" s="94"/>
      <c r="I99" s="94"/>
      <c r="J99" s="94"/>
      <c r="K99" s="94"/>
      <c r="L99" s="94"/>
      <c r="M99" s="94"/>
      <c r="N99" s="94"/>
      <c r="O99" s="33"/>
      <c r="P99" s="31"/>
      <c r="Q99" s="28"/>
      <c r="R99" s="28"/>
      <c r="S99" s="28"/>
      <c r="T99" s="28"/>
      <c r="U99" s="28"/>
      <c r="V99" s="28"/>
      <c r="W99" s="63"/>
      <c r="X99" s="28"/>
    </row>
    <row r="100" spans="1:24" s="2" customFormat="1" ht="36" customHeight="1" x14ac:dyDescent="0.4">
      <c r="A100" s="93" t="s">
        <v>371</v>
      </c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33"/>
      <c r="P100" s="31"/>
      <c r="Q100" s="31" t="e">
        <f>SUM(Q45+Q97)/2</f>
        <v>#DIV/0!</v>
      </c>
      <c r="R100" s="31" t="e">
        <f t="shared" ref="R100:V101" si="22">SUM(R45+R97)/2</f>
        <v>#DIV/0!</v>
      </c>
      <c r="S100" s="31" t="e">
        <f t="shared" si="22"/>
        <v>#DIV/0!</v>
      </c>
      <c r="T100" s="31" t="e">
        <f t="shared" si="22"/>
        <v>#DIV/0!</v>
      </c>
      <c r="U100" s="31" t="e">
        <f t="shared" si="22"/>
        <v>#DIV/0!</v>
      </c>
      <c r="V100" s="31" t="e">
        <f t="shared" si="22"/>
        <v>#DIV/0!</v>
      </c>
      <c r="W100" s="63"/>
      <c r="X100" s="28"/>
    </row>
    <row r="101" spans="1:24" s="2" customFormat="1" ht="36" customHeight="1" x14ac:dyDescent="0.4">
      <c r="A101" s="93" t="s">
        <v>372</v>
      </c>
      <c r="B101" s="94"/>
      <c r="C101" s="94"/>
      <c r="D101" s="94"/>
      <c r="E101" s="94"/>
      <c r="F101" s="94"/>
      <c r="G101" s="94"/>
      <c r="H101" s="94"/>
      <c r="I101" s="94"/>
      <c r="J101" s="94"/>
      <c r="K101" s="94"/>
      <c r="L101" s="94"/>
      <c r="M101" s="94"/>
      <c r="N101" s="94"/>
      <c r="O101" s="33"/>
      <c r="P101" s="31"/>
      <c r="Q101" s="31" t="e">
        <f>SUM(Q46+Q98)/2</f>
        <v>#DIV/0!</v>
      </c>
      <c r="R101" s="31" t="e">
        <f t="shared" si="22"/>
        <v>#DIV/0!</v>
      </c>
      <c r="S101" s="31" t="e">
        <f t="shared" si="22"/>
        <v>#DIV/0!</v>
      </c>
      <c r="T101" s="31" t="e">
        <f t="shared" si="22"/>
        <v>#DIV/0!</v>
      </c>
      <c r="U101" s="31" t="e">
        <f t="shared" si="22"/>
        <v>#DIV/0!</v>
      </c>
      <c r="V101" s="31" t="e">
        <f t="shared" si="22"/>
        <v>#DIV/0!</v>
      </c>
      <c r="W101" s="63"/>
      <c r="X101" s="28"/>
    </row>
    <row r="102" spans="1:24" s="2" customFormat="1" ht="36" customHeight="1" x14ac:dyDescent="0.4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5"/>
      <c r="Q102" s="5"/>
      <c r="R102" s="5"/>
      <c r="S102" s="5"/>
      <c r="T102" s="5"/>
      <c r="U102" s="5"/>
      <c r="V102" s="6"/>
      <c r="W102" s="64"/>
      <c r="X102" s="6"/>
    </row>
    <row r="103" spans="1:24" ht="36" customHeight="1" x14ac:dyDescent="0.3">
      <c r="A103" s="102" t="s">
        <v>298</v>
      </c>
      <c r="B103" s="102"/>
      <c r="C103" s="102"/>
      <c r="D103" s="102"/>
      <c r="E103" s="102"/>
      <c r="F103" s="102"/>
      <c r="G103" s="102"/>
      <c r="H103" s="102"/>
      <c r="I103" s="102"/>
      <c r="J103" s="102"/>
      <c r="K103" s="102"/>
      <c r="L103" s="102"/>
      <c r="M103" s="102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</row>
    <row r="104" spans="1:24" ht="36" customHeight="1" x14ac:dyDescent="0.3">
      <c r="A104" s="102" t="s">
        <v>117</v>
      </c>
      <c r="B104" s="102"/>
      <c r="C104" s="102"/>
      <c r="D104" s="102"/>
      <c r="E104" s="102"/>
      <c r="F104" s="102"/>
      <c r="G104" s="102"/>
      <c r="H104" s="102"/>
      <c r="I104" s="102"/>
      <c r="J104" s="102"/>
      <c r="K104" s="102"/>
      <c r="L104" s="102"/>
      <c r="M104" s="102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</row>
  </sheetData>
  <autoFilter ref="A61:X98" xr:uid="{00000000-0009-0000-0000-000001000000}"/>
  <mergeCells count="55">
    <mergeCell ref="A103:X103"/>
    <mergeCell ref="A104:X104"/>
    <mergeCell ref="P60:P61"/>
    <mergeCell ref="Q60:Q61"/>
    <mergeCell ref="R60:R61"/>
    <mergeCell ref="S60:S61"/>
    <mergeCell ref="T60:T61"/>
    <mergeCell ref="U60:U61"/>
    <mergeCell ref="D60:D61"/>
    <mergeCell ref="E60:J60"/>
    <mergeCell ref="A90:D90"/>
    <mergeCell ref="B91:D91"/>
    <mergeCell ref="B92:D92"/>
    <mergeCell ref="V60:V61"/>
    <mergeCell ref="A97:N97"/>
    <mergeCell ref="A98:N98"/>
    <mergeCell ref="C9:C10"/>
    <mergeCell ref="A44:N44"/>
    <mergeCell ref="A45:N45"/>
    <mergeCell ref="A46:N46"/>
    <mergeCell ref="Q9:Q10"/>
    <mergeCell ref="A49:X49"/>
    <mergeCell ref="U9:U10"/>
    <mergeCell ref="A9:A10"/>
    <mergeCell ref="B9:B10"/>
    <mergeCell ref="R9:R10"/>
    <mergeCell ref="S9:S10"/>
    <mergeCell ref="K9:O9"/>
    <mergeCell ref="P9:P10"/>
    <mergeCell ref="V9:V10"/>
    <mergeCell ref="T9:T10"/>
    <mergeCell ref="A48:X48"/>
    <mergeCell ref="D9:D10"/>
    <mergeCell ref="E9:J9"/>
    <mergeCell ref="A38:D38"/>
    <mergeCell ref="B39:D39"/>
    <mergeCell ref="B40:D40"/>
    <mergeCell ref="A8:O8"/>
    <mergeCell ref="A3:O3"/>
    <mergeCell ref="A4:O4"/>
    <mergeCell ref="A6:O6"/>
    <mergeCell ref="A7:O7"/>
    <mergeCell ref="B96:N96"/>
    <mergeCell ref="B99:N99"/>
    <mergeCell ref="A100:N100"/>
    <mergeCell ref="A101:N101"/>
    <mergeCell ref="A54:O54"/>
    <mergeCell ref="A55:O55"/>
    <mergeCell ref="A59:O59"/>
    <mergeCell ref="A60:A61"/>
    <mergeCell ref="B60:B61"/>
    <mergeCell ref="C60:C61"/>
    <mergeCell ref="K60:O60"/>
    <mergeCell ref="A58:O58"/>
    <mergeCell ref="A57:O57"/>
  </mergeCells>
  <conditionalFormatting sqref="W11:W37 W62:W89">
    <cfRule type="cellIs" dxfId="1" priority="4" operator="notEqual">
      <formula>$B11</formula>
    </cfRule>
  </conditionalFormatting>
  <conditionalFormatting sqref="X11:X37 X62:X89">
    <cfRule type="cellIs" dxfId="0" priority="3" operator="notEqual">
      <formula>$C11</formula>
    </cfRule>
  </conditionalFormatting>
  <printOptions horizontalCentered="1"/>
  <pageMargins left="0.23622047244094491" right="0.23622047244094491" top="0.19685039370078741" bottom="0.19685039370078741" header="0.19685039370078741" footer="0.19685039370078741"/>
  <pageSetup paperSize="8" scale="29" fitToHeight="2" orientation="landscape" r:id="rId1"/>
  <headerFooter>
    <oddFooter>&amp;L&amp;Z&amp;F&amp;R&amp;D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Feuil1!$A$1:$A$2</xm:f>
          </x14:formula1>
          <xm:sqref>D11:D37 D62:D89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>
      <selection activeCell="A3" sqref="A3"/>
    </sheetView>
  </sheetViews>
  <sheetFormatPr baseColWidth="10" defaultColWidth="11.44140625" defaultRowHeight="14.4" x14ac:dyDescent="0.3"/>
  <sheetData>
    <row r="1" spans="1:1" x14ac:dyDescent="0.3">
      <c r="A1" t="s">
        <v>373</v>
      </c>
    </row>
    <row r="2" spans="1:1" x14ac:dyDescent="0.3">
      <c r="A2" t="s">
        <v>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4EF5D4ED32444A9FF69974DC048D23" ma:contentTypeVersion="3" ma:contentTypeDescription="Crée un document." ma:contentTypeScope="" ma:versionID="9b43f8bf33cc048685c408a8aeaecfe0">
  <xsd:schema xmlns:xsd="http://www.w3.org/2001/XMLSchema" xmlns:xs="http://www.w3.org/2001/XMLSchema" xmlns:p="http://schemas.microsoft.com/office/2006/metadata/properties" xmlns:ns2="0549971e-d525-4c07-8c11-e81ff3b76c3e" xmlns:ns3="f3e8b3a3-3f96-4fbf-816c-340ebc1fb815" targetNamespace="http://schemas.microsoft.com/office/2006/metadata/properties" ma:root="true" ma:fieldsID="fc91ab9fe634922c8466c9ee48701599" ns2:_="" ns3:_="">
    <xsd:import namespace="0549971e-d525-4c07-8c11-e81ff3b76c3e"/>
    <xsd:import namespace="f3e8b3a3-3f96-4fbf-816c-340ebc1fb81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Observat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49971e-d525-4c07-8c11-e81ff3b76c3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e8b3a3-3f96-4fbf-816c-340ebc1fb815" elementFormDefault="qualified">
    <xsd:import namespace="http://schemas.microsoft.com/office/2006/documentManagement/types"/>
    <xsd:import namespace="http://schemas.microsoft.com/office/infopath/2007/PartnerControls"/>
    <xsd:element name="Observations" ma:index="10" nillable="true" ma:displayName="Observations" ma:description="Permet de réaliser les inscriptions pédagogiques en masse lorsque les modalités de collecte sont renseignées dans Apogée" ma:internalName="Observations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bservations xmlns="f3e8b3a3-3f96-4fbf-816c-340ebc1fb815" xsi:nil="true"/>
    <SharedWithUsers xmlns="0549971e-d525-4c07-8c11-e81ff3b76c3e">
      <UserInfo>
        <DisplayName>Thierry Monediere</DisplayName>
        <AccountId>369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A1A6386-356A-4CE6-AB6A-DD3497549C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49971e-d525-4c07-8c11-e81ff3b76c3e"/>
    <ds:schemaRef ds:uri="f3e8b3a3-3f96-4fbf-816c-340ebc1fb8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A2A296E-87A2-4FA4-932C-A75374C843EF}">
  <ds:schemaRefs>
    <ds:schemaRef ds:uri="http://schemas.microsoft.com/office/2006/metadata/properties"/>
    <ds:schemaRef ds:uri="http://schemas.microsoft.com/office/infopath/2007/PartnerControls"/>
    <ds:schemaRef ds:uri="f3e8b3a3-3f96-4fbf-816c-340ebc1fb815"/>
    <ds:schemaRef ds:uri="0549971e-d525-4c07-8c11-e81ff3b76c3e"/>
  </ds:schemaRefs>
</ds:datastoreItem>
</file>

<file path=customXml/itemProps3.xml><?xml version="1.0" encoding="utf-8"?>
<ds:datastoreItem xmlns:ds="http://schemas.openxmlformats.org/officeDocument/2006/customXml" ds:itemID="{73B0B195-8C38-4D35-9F72-923C4B2A4DD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BUT1 INFO_S1-S2</vt:lpstr>
      <vt:lpstr>BUT2 INFO_P1 RACDV_S3-S4</vt:lpstr>
      <vt:lpstr>Feuil1</vt:lpstr>
    </vt:vector>
  </TitlesOfParts>
  <Manager/>
  <Company>Unilim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doulsp01</dc:creator>
  <cp:keywords/>
  <dc:description/>
  <cp:lastModifiedBy>Axel Pignol</cp:lastModifiedBy>
  <cp:revision/>
  <dcterms:created xsi:type="dcterms:W3CDTF">2018-01-12T07:19:06Z</dcterms:created>
  <dcterms:modified xsi:type="dcterms:W3CDTF">2024-11-12T16:21:43Z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0x010100E24EF5D4ED32444A9FF69974DC048D23</vt:lpwstr>
  </property>
</Properties>
</file>